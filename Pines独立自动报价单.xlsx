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/>
  </bookViews>
  <sheets>
    <sheet name="Pines报价单" sheetId="1" r:id="rId1"/>
    <sheet name="2校区同时Pines报价单" sheetId="2" r:id="rId2"/>
    <sheet name="3种课程安排" sheetId="3" r:id="rId3"/>
    <sheet name="Pines价格明细" sheetId="4" r:id="rId4"/>
  </sheets>
  <definedNames>
    <definedName name="_xlnm.Print_Area" localSheetId="1">'2校区同时Pines报价单'!$A$1:$E$42</definedName>
    <definedName name="_xlnm.Print_Area" localSheetId="0">Pines报价单!$A$1:$E$38</definedName>
    <definedName name="WebWps_Link_1" hidden="1">Pines报价单!$A$1:$E$38</definedName>
    <definedName name="_xlnm.Print_Area" localSheetId="2">'3种课程安排'!$A$1:$E$43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<sst xmlns="http://schemas.openxmlformats.org/spreadsheetml/2006/main" count="260" uniqueCount="136">
  <si>
    <t xml:space="preserve">   菲律宾游学</t>
  </si>
  <si>
    <t>微信/电话：13249827686  邮箱: startedu86@163.com</t>
  </si>
  <si>
    <t xml:space="preserve"> </t>
  </si>
  <si>
    <t>学校：</t>
  </si>
  <si>
    <t>Pines 雅思校区</t>
  </si>
  <si>
    <t>报价日期：</t>
  </si>
  <si>
    <t>上课周数：</t>
  </si>
  <si>
    <t>宿舍：</t>
  </si>
  <si>
    <t>雅思校区四人间</t>
  </si>
  <si>
    <t>课程安排：</t>
  </si>
  <si>
    <t>IELTS</t>
  </si>
  <si>
    <t>1、学费（包含注册费、课程费、住宿费、工作日餐费）</t>
  </si>
  <si>
    <t>学费</t>
  </si>
  <si>
    <t>项目</t>
  </si>
  <si>
    <t>价格/美元</t>
  </si>
  <si>
    <t>注册费</t>
  </si>
  <si>
    <r>
      <rPr>
        <sz val="12"/>
        <rFont val="微软雅黑"/>
        <charset val="134"/>
      </rPr>
      <t>旺季附加费40美元/周</t>
    </r>
    <r>
      <rPr>
        <sz val="10"/>
        <rFont val="微软雅黑"/>
        <charset val="134"/>
      </rPr>
      <t xml:space="preserve">
</t>
    </r>
    <r>
      <rPr>
        <sz val="8"/>
        <rFont val="微软雅黑"/>
        <charset val="134"/>
      </rPr>
      <t>（学习时间6.29-8.23）</t>
    </r>
  </si>
  <si>
    <t>总计</t>
  </si>
  <si>
    <r>
      <rPr>
        <sz val="12"/>
        <rFont val="微软雅黑"/>
        <charset val="134"/>
      </rPr>
      <t xml:space="preserve">常规淡季优惠（150美元/4周）
</t>
    </r>
    <r>
      <rPr>
        <sz val="8"/>
        <color rgb="FFFF0000"/>
        <rFont val="微软雅黑"/>
        <charset val="134"/>
      </rPr>
      <t>（8月31日前报名，学习时间12月28日前）</t>
    </r>
  </si>
  <si>
    <r>
      <rPr>
        <sz val="12"/>
        <rFont val="微软雅黑"/>
        <charset val="134"/>
      </rPr>
      <t xml:space="preserve">创造者优惠（减免1周住宿费）
</t>
    </r>
    <r>
      <rPr>
        <sz val="8"/>
        <color rgb="FFFF0000"/>
        <rFont val="微软雅黑"/>
        <charset val="134"/>
      </rPr>
      <t>发布2篇小红书文章或者视频+学校官方采访录制3分钟
减免1周住宿费</t>
    </r>
  </si>
  <si>
    <t>额外优惠（12周以上）</t>
  </si>
  <si>
    <t>思达优惠</t>
  </si>
  <si>
    <t>可以一直优惠不限制</t>
  </si>
  <si>
    <r>
      <rPr>
        <b/>
        <sz val="12"/>
        <rFont val="微软雅黑"/>
        <charset val="134"/>
      </rPr>
      <t>折后价</t>
    </r>
    <r>
      <rPr>
        <b/>
        <sz val="8"/>
        <rFont val="微软雅黑"/>
        <charset val="134"/>
      </rPr>
      <t>（汇率按照缴费最新汇率）</t>
    </r>
  </si>
  <si>
    <t>2133.75美元(约人民币15323元)</t>
  </si>
  <si>
    <t>折后合计</t>
  </si>
  <si>
    <r>
      <rPr>
        <sz val="12"/>
        <rFont val="微软雅黑"/>
        <charset val="134"/>
      </rPr>
      <t>2、学杂费（即到学校后会产生的当地费用，</t>
    </r>
    <r>
      <rPr>
        <sz val="12"/>
        <color rgb="FFFF0000"/>
        <rFont val="微软雅黑"/>
        <charset val="134"/>
      </rPr>
      <t>和思达游学无关，以到校为准仅供参考</t>
    </r>
    <r>
      <rPr>
        <sz val="12"/>
        <rFont val="微软雅黑"/>
        <charset val="134"/>
      </rPr>
      <t>）</t>
    </r>
  </si>
  <si>
    <t xml:space="preserve">学杂费
</t>
  </si>
  <si>
    <t>1、SSP特殊学习许可证</t>
  </si>
  <si>
    <r>
      <rPr>
        <sz val="12"/>
        <rFont val="微软雅黑"/>
        <charset val="134"/>
      </rPr>
      <t>P7800</t>
    </r>
    <r>
      <rPr>
        <sz val="10"/>
        <rFont val="微软雅黑"/>
        <charset val="134"/>
      </rPr>
      <t>(同学习时间一样,续费需要重新办理)</t>
    </r>
  </si>
  <si>
    <r>
      <rPr>
        <sz val="12"/>
        <rFont val="微软雅黑"/>
        <charset val="134"/>
      </rPr>
      <t>2、ACR-I CARD</t>
    </r>
    <r>
      <rPr>
        <sz val="9"/>
        <rFont val="微软雅黑"/>
        <charset val="134"/>
      </rPr>
      <t>（1年有效期）</t>
    </r>
  </si>
  <si>
    <t>P4500</t>
  </si>
  <si>
    <r>
      <rPr>
        <sz val="12"/>
        <rFont val="微软雅黑"/>
        <charset val="134"/>
      </rPr>
      <t>3、SSP-I CARD</t>
    </r>
    <r>
      <rPr>
        <sz val="9"/>
        <rFont val="微软雅黑"/>
        <charset val="134"/>
      </rPr>
      <t>（1年有效期）</t>
    </r>
  </si>
  <si>
    <t>4、续签费用</t>
  </si>
  <si>
    <t>第一次续签P4940</t>
  </si>
  <si>
    <t>第二次续签P6210</t>
  </si>
  <si>
    <t>第三次续签P4240</t>
  </si>
  <si>
    <t>5、住宿费押金</t>
  </si>
  <si>
    <t>P4000</t>
  </si>
  <si>
    <t>6、水电费</t>
  </si>
  <si>
    <t>约P3000/4周</t>
  </si>
  <si>
    <t>7、选修课</t>
  </si>
  <si>
    <t>P300/2周</t>
  </si>
  <si>
    <t>8、书本费</t>
  </si>
  <si>
    <t>约P2500/6本教材/4周</t>
  </si>
  <si>
    <t>9、洗衣费</t>
  </si>
  <si>
    <t>P150/7kg</t>
  </si>
  <si>
    <t>10、接机费（固定时间）</t>
  </si>
  <si>
    <t>周日马尼拉团体接机3000比索/人</t>
  </si>
  <si>
    <t>周日克拉克团体接机2500比索/人</t>
  </si>
  <si>
    <t>11、学生证</t>
  </si>
  <si>
    <t>P200</t>
  </si>
  <si>
    <t>总计（直接交给学校的）</t>
  </si>
  <si>
    <r>
      <rPr>
        <sz val="12"/>
        <rFont val="微软雅黑"/>
        <charset val="134"/>
      </rPr>
      <t>约3000元人民币以上/4周/人</t>
    </r>
    <r>
      <rPr>
        <sz val="9"/>
        <rFont val="微软雅黑"/>
        <charset val="134"/>
      </rPr>
      <t>（不含押金）</t>
    </r>
  </si>
  <si>
    <t>说明：
1、学费部分由游学机构代收或直接到校支付给学校，我们的报价单上就是最终价格，支付时按照支付宝实时汇率，把美元换算为人民币结算。
2、学杂费是到菲律宾当地需要交纳的费用，是学校直接收取的，我们的报价只作为参考，具体以学校收取的为准。</t>
  </si>
  <si>
    <t>Pines主校区&amp;Chapis校区</t>
  </si>
  <si>
    <t>上课周数</t>
  </si>
  <si>
    <t>课程名称</t>
  </si>
  <si>
    <t>课程安排</t>
  </si>
  <si>
    <t>宿舍</t>
  </si>
  <si>
    <t>Power Speaking</t>
  </si>
  <si>
    <t>主校区双人间B</t>
  </si>
  <si>
    <t>Chapis雅思校区双人间</t>
  </si>
  <si>
    <r>
      <rPr>
        <sz val="12"/>
        <rFont val="微软雅黑"/>
        <charset val="134"/>
      </rPr>
      <t xml:space="preserve">旺季附加费40美元/周
</t>
    </r>
    <r>
      <rPr>
        <sz val="10"/>
        <rFont val="微软雅黑"/>
        <charset val="134"/>
      </rPr>
      <t>（学习时间6.29-8.23）</t>
    </r>
  </si>
  <si>
    <r>
      <rPr>
        <sz val="12"/>
        <rFont val="微软雅黑"/>
        <charset val="134"/>
      </rPr>
      <t xml:space="preserve">常规淡季优惠（150美元/4周）
</t>
    </r>
    <r>
      <rPr>
        <sz val="8"/>
        <rFont val="微软雅黑"/>
        <charset val="134"/>
      </rPr>
      <t>（8月31日前报名，学习时间12月28日前）</t>
    </r>
  </si>
  <si>
    <r>
      <rPr>
        <sz val="12"/>
        <color rgb="FF000000"/>
        <rFont val="微软雅黑"/>
        <charset val="134"/>
      </rPr>
      <t xml:space="preserve">创造者优惠（减免1周住宿费）
</t>
    </r>
    <r>
      <rPr>
        <sz val="8"/>
        <color rgb="FFFF0000"/>
        <rFont val="微软雅黑"/>
        <charset val="134"/>
      </rPr>
      <t>发布2篇小红书文章或者视频+学校官方采访录制3分钟
减免1周住宿费</t>
    </r>
  </si>
  <si>
    <t>十周年活动
（报名10周以上优惠100美元）</t>
  </si>
  <si>
    <t>折后价（汇率按照缴费最新汇率）</t>
  </si>
  <si>
    <t>4850美元（约人民币34875元）</t>
  </si>
  <si>
    <t>约P1,500/6本教材/4周</t>
  </si>
  <si>
    <t>Pines主校区</t>
  </si>
  <si>
    <t>主校区4人间</t>
  </si>
  <si>
    <t>主校区单人间C</t>
  </si>
  <si>
    <t>1、学费（包含注册费、课程费、住宿费、餐费）</t>
  </si>
  <si>
    <t>主校区4人间（上床下桌）</t>
  </si>
  <si>
    <t>主校区6人间</t>
  </si>
  <si>
    <t>注册费优惠</t>
  </si>
  <si>
    <t>其他优惠</t>
  </si>
  <si>
    <t>5月31日之前入学优惠</t>
  </si>
  <si>
    <t>长周期优惠</t>
  </si>
  <si>
    <t>Pines 2025年课程费</t>
  </si>
  <si>
    <t>Pines 2025年食宿费</t>
  </si>
  <si>
    <t>校区</t>
  </si>
  <si>
    <t>100美元</t>
  </si>
  <si>
    <t>主校区课程名称</t>
  </si>
  <si>
    <t>课程价格
4周/美元</t>
  </si>
  <si>
    <t>备注</t>
  </si>
  <si>
    <t>8月17日汇率</t>
  </si>
  <si>
    <t>房间类型</t>
  </si>
  <si>
    <t>食宿价格/4周/美元</t>
  </si>
  <si>
    <t>一对一4课时+小组课4课时</t>
  </si>
  <si>
    <t xml:space="preserve">
以上课程都可以选择eb pro计划，额外支付5000比索/4周，eb pro一般从第三周才可以开始上</t>
  </si>
  <si>
    <t>主校区单人间A</t>
  </si>
  <si>
    <t>Pines主校区&amp;雅思校区</t>
  </si>
  <si>
    <t>Intensive ESL</t>
  </si>
  <si>
    <t>一对一5课时+小组课2节课</t>
  </si>
  <si>
    <t>主校区单人间B</t>
  </si>
  <si>
    <t>这是一个套间，
两个房间共用一个客厅，房间B在自己房间内拥有独立的卫浴。而房间C的卫浴在客厅</t>
  </si>
  <si>
    <t>Light ESL4</t>
  </si>
  <si>
    <t>一对一4节课</t>
  </si>
  <si>
    <t>Power ESL5</t>
  </si>
  <si>
    <t>一对一5节课</t>
  </si>
  <si>
    <t>主校区双人间A</t>
  </si>
  <si>
    <t>Power ESL7</t>
  </si>
  <si>
    <t>一对一7节课</t>
  </si>
  <si>
    <t>商务英语（初中级）</t>
  </si>
  <si>
    <t>一对一4课时+小组课3课时</t>
  </si>
  <si>
    <t>碧瑶学校最舒服的多人间，网红宿舍</t>
  </si>
  <si>
    <t>商务英语（中高级）</t>
  </si>
  <si>
    <t>一对一5课时</t>
  </si>
  <si>
    <t>TOEIC/TOEIC Speaking</t>
  </si>
  <si>
    <t>一对一4课时+小组课4课时+选修课</t>
  </si>
  <si>
    <t>主校区亲子2-3人房</t>
  </si>
  <si>
    <r>
      <rPr>
        <sz val="12"/>
        <rFont val="微软雅黑"/>
        <charset val="134"/>
      </rPr>
      <t>双人间</t>
    </r>
    <r>
      <rPr>
        <sz val="14"/>
        <rFont val="微软雅黑"/>
        <charset val="134"/>
      </rPr>
      <t xml:space="preserve"> </t>
    </r>
    <r>
      <rPr>
        <sz val="12"/>
        <rFont val="微软雅黑"/>
        <charset val="134"/>
      </rPr>
      <t>/加床</t>
    </r>
  </si>
  <si>
    <t>Family Junior 青少年</t>
  </si>
  <si>
    <t>一对一5课时+小组课2课时+选修课2课时</t>
  </si>
  <si>
    <t>雅思校区单人间</t>
  </si>
  <si>
    <t>2人间升级为单人间，单人住</t>
  </si>
  <si>
    <t>Family Junior 家长</t>
  </si>
  <si>
    <t>一对一3课时+选修课2课时</t>
  </si>
  <si>
    <t>雅思校区单人间B</t>
  </si>
  <si>
    <t>雅思校区课程名称</t>
  </si>
  <si>
    <t>雅思校区双人间</t>
  </si>
  <si>
    <t>Pre-IELTS</t>
  </si>
  <si>
    <t>雅思校区三人间</t>
  </si>
  <si>
    <t>一对一4课时+小组课3课时+选修课</t>
  </si>
  <si>
    <t>上下床</t>
  </si>
  <si>
    <t>IELTS Guarantee 8w</t>
  </si>
  <si>
    <t>一对一5课时+小组课2课时+3课时自习+2课时监督学习</t>
  </si>
  <si>
    <t>IELTS Guarantee 12w</t>
  </si>
  <si>
    <t>报名2周为4周65%，报名3周为4周85%</t>
  </si>
  <si>
    <t>* Power ESL 5、7和Spartan Power ESL 7:教材可更换;选择学校的书籍(需要咨询学校)</t>
  </si>
  <si>
    <t>*家长课程:可转课1节课给孩子</t>
  </si>
  <si>
    <t>免注册费，</t>
  </si>
  <si>
    <t>长周期优惠：16周以上长期优惠100美元，每4周叠加50美元优惠。可以和其他优惠折叠使用</t>
  </si>
  <si>
    <t>暑期附加费40美元/周
入学时间：2024年6月30日至8月24日；2025 2年6月29日至8月23日。从今年开始，直至另行通知
适用于所有课程（宿务蓝海家庭课程除外）
2月20日更新
报名时间2025年8月23日截止（除开寒暑假旺季）
入学时间为2025年年底前（除开寒暑假旺季）
定期促销：每4周优惠150美元
额外促销：12周以上额外优惠100美元
上述促销活动可同时使用，也可享长期优惠(16周或以上)。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</si>
</sst>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3">
    <font>
      <sz val="12"/>
      <name val="宋体"/>
      <charset val="134"/>
    </font>
    <font>
      <b/>
      <sz val="24"/>
      <name val="微软雅黑"/>
      <charset val="134"/>
    </font>
    <font>
      <sz val="12"/>
      <name val="微软雅黑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2"/>
      <color rgb="FFFF0000"/>
      <name val="宋体"/>
      <charset val="134"/>
    </font>
    <font>
      <b/>
      <sz val="24"/>
      <name val="宋体"/>
      <charset val="134"/>
    </font>
    <font>
      <b/>
      <sz val="28"/>
      <color rgb="FF7030A0"/>
      <name val="微软雅黑"/>
      <charset val="134"/>
    </font>
    <font>
      <b/>
      <sz val="28"/>
      <color rgb="FF9BC2E6"/>
      <name val="微软雅黑"/>
      <charset val="134"/>
    </font>
    <font>
      <sz val="9"/>
      <color rgb="FF808080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2"/>
      <color rgb="FF000000"/>
      <name val="微软雅黑"/>
      <charset val="134"/>
    </font>
    <font>
      <sz val="9"/>
      <name val="微软雅黑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FF0000"/>
      <name val="微软雅黑"/>
      <charset val="134"/>
    </font>
    <font>
      <sz val="14"/>
      <name val="微软雅黑"/>
      <charset val="134"/>
    </font>
    <font>
      <b/>
      <sz val="8"/>
      <name val="微软雅黑"/>
      <charset val="134"/>
    </font>
    <font>
      <sz val="8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8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ck">
        <color rgb="FF7030A0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8" borderId="2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23" applyNumberFormat="0" applyAlignment="0" applyProtection="0">
      <alignment vertical="center"/>
    </xf>
    <xf numFmtId="0" fontId="29" fillId="10" borderId="24" applyNumberFormat="0" applyAlignment="0" applyProtection="0">
      <alignment vertical="center"/>
    </xf>
    <xf numFmtId="0" fontId="30" fillId="10" borderId="23" applyNumberFormat="0" applyAlignment="0" applyProtection="0">
      <alignment vertical="center"/>
    </xf>
    <xf numFmtId="0" fontId="31" fillId="11" borderId="25" applyNumberFormat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>
      <alignment vertical="center"/>
    </xf>
    <xf numFmtId="0" fontId="2" fillId="0" borderId="0" xfId="0" applyFo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4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3" borderId="4" xfId="0" applyFont="1" applyFill="1" applyBorder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>
      <alignment vertical="center"/>
    </xf>
    <xf numFmtId="0" fontId="5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Fill="1" applyBorder="1">
      <alignment vertical="center"/>
    </xf>
    <xf numFmtId="0" fontId="5" fillId="0" borderId="4" xfId="0" applyFont="1" applyFill="1" applyBorder="1" applyAlignment="1">
      <alignment vertical="top" wrapText="1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5" fillId="0" borderId="4" xfId="0" applyFont="1" applyFill="1" applyBorder="1">
      <alignment vertical="center"/>
    </xf>
    <xf numFmtId="0" fontId="5" fillId="0" borderId="4" xfId="0" applyFont="1" applyBorder="1" applyAlignment="1">
      <alignment vertical="top" wrapText="1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>
      <alignment vertical="center"/>
    </xf>
    <xf numFmtId="0" fontId="4" fillId="4" borderId="4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4" fillId="4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9" fillId="2" borderId="3" xfId="0" applyFont="1" applyFill="1" applyBorder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0" borderId="8" xfId="0" applyFont="1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right" vertical="center"/>
    </xf>
    <xf numFmtId="14" fontId="2" fillId="5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4" fontId="2" fillId="4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left" vertical="center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>
      <alignment vertical="center"/>
    </xf>
    <xf numFmtId="0" fontId="15" fillId="5" borderId="0" xfId="0" applyFont="1" applyFill="1">
      <alignment vertical="center"/>
    </xf>
    <xf numFmtId="0" fontId="13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>
      <alignment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>
      <alignment vertical="center"/>
    </xf>
    <xf numFmtId="0" fontId="12" fillId="0" borderId="8" xfId="0" applyFont="1" applyFill="1" applyBorder="1" applyAlignment="1">
      <alignment horizontal="left" vertical="center"/>
    </xf>
    <xf numFmtId="0" fontId="0" fillId="0" borderId="8" xfId="0" applyFill="1" applyBorder="1">
      <alignment vertical="center"/>
    </xf>
    <xf numFmtId="0" fontId="0" fillId="0" borderId="8" xfId="0" applyFill="1" applyBorder="1" applyAlignment="1">
      <alignment horizontal="center" vertical="center"/>
    </xf>
    <xf numFmtId="0" fontId="17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176" fontId="2" fillId="0" borderId="11" xfId="0" applyNumberFormat="1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/>
    </xf>
    <xf numFmtId="176" fontId="2" fillId="7" borderId="18" xfId="0" applyNumberFormat="1" applyFont="1" applyFill="1" applyBorder="1" applyAlignment="1">
      <alignment horizontal="center" vertical="center"/>
    </xf>
    <xf numFmtId="176" fontId="2" fillId="7" borderId="19" xfId="0" applyNumberFormat="1" applyFont="1" applyFill="1" applyBorder="1" applyAlignment="1">
      <alignment horizontal="center" vertical="center"/>
    </xf>
    <xf numFmtId="176" fontId="4" fillId="5" borderId="18" xfId="0" applyNumberFormat="1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128503</xdr:colOff>
      <xdr:row>49</xdr:row>
      <xdr:rowOff>113506</xdr:rowOff>
    </xdr:from>
    <xdr:to>
      <xdr:col>2</xdr:col>
      <xdr:colOff>97436</xdr:colOff>
      <xdr:row>72</xdr:row>
      <xdr:rowOff>62865</xdr:rowOff>
    </xdr:to>
    <xdr:pic>
      <xdr:nvPicPr>
        <xdr:cNvPr id="4" name="图片 3" descr=" "/>
        <xdr:cNvPicPr/>
      </xdr:nvPicPr>
      <xdr:blipFill>
        <a:blip r:embed="rId1"/>
        <a:srcRect/>
        <a:stretch>
          <a:fillRect/>
        </a:stretch>
      </xdr:blipFill>
      <xdr:spPr>
        <a:xfrm>
          <a:off x="128270" y="18129250"/>
          <a:ext cx="3261995" cy="45065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3</xdr:col>
      <xdr:colOff>137160</xdr:colOff>
      <xdr:row>19</xdr:row>
      <xdr:rowOff>98425</xdr:rowOff>
    </xdr:from>
    <xdr:to>
      <xdr:col>8</xdr:col>
      <xdr:colOff>355600</xdr:colOff>
      <xdr:row>25</xdr:row>
      <xdr:rowOff>253365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62520" y="6232525"/>
          <a:ext cx="7835900" cy="4114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9"/>
  <sheetViews>
    <sheetView showGridLines="0" tabSelected="1" zoomScale="107" zoomScaleNormal="107" topLeftCell="A9" workbookViewId="0">
      <selection activeCell="B16" sqref="B16:C16"/>
    </sheetView>
  </sheetViews>
  <sheetFormatPr defaultColWidth="8.925" defaultRowHeight="15.6"/>
  <cols>
    <col min="1" max="1" width="10.8333333333333" style="110" customWidth="1"/>
    <col min="2" max="3" width="18.6" style="110" customWidth="1"/>
    <col min="4" max="4" width="10.7416666666667" style="110" customWidth="1"/>
    <col min="5" max="5" width="26.0416666666667" style="111" customWidth="1"/>
    <col min="6" max="9" width="9" style="110"/>
    <col min="10" max="10" width="65.875" style="110" customWidth="1"/>
    <col min="11" max="16384" width="9" style="110"/>
  </cols>
  <sheetData>
    <row r="1" ht="59.15" customHeight="1" spans="1:7">
      <c r="A1" s="112" t="s">
        <v>0</v>
      </c>
      <c r="B1" s="112"/>
      <c r="C1" s="112"/>
      <c r="D1" s="112"/>
      <c r="E1" s="112"/>
      <c r="F1" s="113"/>
      <c r="G1" s="113"/>
    </row>
    <row r="2" spans="1:7">
      <c r="A2" s="114"/>
      <c r="B2" s="114"/>
      <c r="C2" s="114"/>
      <c r="D2" s="114"/>
      <c r="E2" s="114"/>
      <c r="F2" s="115"/>
      <c r="G2" s="115"/>
    </row>
    <row r="3" spans="1:5">
      <c r="A3" s="114" t="s">
        <v>1</v>
      </c>
      <c r="B3" s="114"/>
      <c r="C3" s="114"/>
      <c r="D3" s="114"/>
      <c r="E3" s="114"/>
    </row>
    <row r="4" ht="8.15" customHeight="1"/>
    <row r="5" ht="9" customHeight="1" spans="1:5">
      <c r="A5" s="116" t="s">
        <v>2</v>
      </c>
      <c r="B5" s="117"/>
      <c r="C5" s="117"/>
      <c r="D5" s="117"/>
      <c r="E5" s="118"/>
    </row>
    <row r="6" ht="22" customHeight="1" spans="1:10">
      <c r="A6" s="58" t="s">
        <v>3</v>
      </c>
      <c r="B6" s="58" t="s">
        <v>4</v>
      </c>
      <c r="C6" s="58"/>
      <c r="D6" s="59" t="s">
        <v>5</v>
      </c>
      <c r="E6" s="60">
        <v>45897</v>
      </c>
      <c r="G6" s="48"/>
      <c r="H6" s="48"/>
      <c r="I6" s="48"/>
      <c r="J6" s="48"/>
    </row>
    <row r="7" ht="22" customHeight="1" spans="1:10">
      <c r="A7" s="64" t="s">
        <v>6</v>
      </c>
      <c r="B7" s="58">
        <v>8</v>
      </c>
      <c r="C7" s="58"/>
      <c r="D7" s="59" t="s">
        <v>7</v>
      </c>
      <c r="E7" s="58" t="s">
        <v>8</v>
      </c>
      <c r="G7" s="48"/>
      <c r="H7" s="48"/>
      <c r="I7" s="48"/>
      <c r="J7" s="48"/>
    </row>
    <row r="8" ht="22" customHeight="1" spans="1:10">
      <c r="A8" s="64" t="s">
        <v>9</v>
      </c>
      <c r="B8" s="66" t="s">
        <v>10</v>
      </c>
      <c r="C8" s="119" t="str">
        <f>VLOOKUP(B8,Pines价格明细!A3:C19,3,FALSE)</f>
        <v>一对一4课时+小组课3课时+选修课</v>
      </c>
      <c r="D8" s="59"/>
      <c r="E8" s="120"/>
      <c r="G8" s="48"/>
      <c r="H8" s="48"/>
      <c r="I8" s="48"/>
      <c r="J8" s="48"/>
    </row>
    <row r="9" ht="24" customHeight="1" spans="1:10">
      <c r="A9" s="77" t="s">
        <v>11</v>
      </c>
      <c r="B9" s="77"/>
      <c r="C9" s="77"/>
      <c r="D9" s="77"/>
      <c r="E9" s="77"/>
      <c r="G9" s="48"/>
      <c r="H9" s="48"/>
      <c r="I9" s="48"/>
      <c r="J9" s="48"/>
    </row>
    <row r="10" ht="22" customHeight="1" spans="1:10">
      <c r="A10" s="121" t="s">
        <v>12</v>
      </c>
      <c r="B10" s="122" t="s">
        <v>13</v>
      </c>
      <c r="C10" s="122"/>
      <c r="D10" s="122" t="s">
        <v>14</v>
      </c>
      <c r="E10" s="122"/>
      <c r="G10" s="48"/>
      <c r="H10" s="48"/>
      <c r="I10" s="48"/>
      <c r="J10" s="48"/>
    </row>
    <row r="11" ht="22" customHeight="1" spans="1:10">
      <c r="A11" s="121"/>
      <c r="B11" s="121" t="s">
        <v>15</v>
      </c>
      <c r="C11" s="121"/>
      <c r="D11" s="95">
        <v>100</v>
      </c>
      <c r="E11" s="96"/>
      <c r="G11" s="48"/>
      <c r="H11" s="48"/>
      <c r="I11" s="48"/>
      <c r="J11" s="48"/>
    </row>
    <row r="12" ht="22" customHeight="1" spans="1:10">
      <c r="A12" s="121"/>
      <c r="B12" s="94" t="s">
        <v>10</v>
      </c>
      <c r="C12" s="94"/>
      <c r="D12" s="123">
        <f>VLOOKUP($B$12,Pines价格明细!$A$4:$B$18,2,0)*($B$7/4)</f>
        <v>2200</v>
      </c>
      <c r="E12" s="124"/>
      <c r="G12" s="48"/>
      <c r="H12" s="48"/>
      <c r="I12" s="48"/>
      <c r="J12" s="48"/>
    </row>
    <row r="13" ht="22" customHeight="1" spans="1:10">
      <c r="A13" s="121"/>
      <c r="B13" s="95" t="s">
        <v>8</v>
      </c>
      <c r="C13" s="96"/>
      <c r="D13" s="95">
        <f>VLOOKUP(B13,Pines价格明细!F3:G16,2,FALSE)*($B$7/4)</f>
        <v>1260</v>
      </c>
      <c r="E13" s="96"/>
      <c r="G13" s="48"/>
      <c r="H13" s="48"/>
      <c r="I13" s="48"/>
      <c r="J13" s="48"/>
    </row>
    <row r="14" ht="35" customHeight="1" spans="1:10">
      <c r="A14" s="121"/>
      <c r="B14" s="125" t="s">
        <v>16</v>
      </c>
      <c r="C14" s="126"/>
      <c r="D14" s="127">
        <v>0</v>
      </c>
      <c r="E14" s="128"/>
      <c r="G14" s="48"/>
      <c r="H14" s="48"/>
      <c r="I14" s="48"/>
      <c r="J14" s="48"/>
    </row>
    <row r="15" ht="22" customHeight="1" spans="1:10">
      <c r="A15" s="121"/>
      <c r="B15" s="101" t="s">
        <v>17</v>
      </c>
      <c r="C15" s="102"/>
      <c r="D15" s="129">
        <f>SUM(D11:E14)</f>
        <v>3560</v>
      </c>
      <c r="E15" s="130"/>
      <c r="F15" s="110">
        <f>D11+D12+D13+D14</f>
        <v>3560</v>
      </c>
      <c r="G15" s="48"/>
      <c r="H15" s="48"/>
      <c r="I15" s="48"/>
      <c r="J15" s="48"/>
    </row>
    <row r="16" ht="35" customHeight="1" spans="1:6">
      <c r="A16" s="121"/>
      <c r="B16" s="105" t="s">
        <v>18</v>
      </c>
      <c r="C16" s="74"/>
      <c r="D16" s="73">
        <v>30</v>
      </c>
      <c r="E16" s="74"/>
      <c r="F16"/>
    </row>
    <row r="17" ht="50" customHeight="1" spans="1:6">
      <c r="A17" s="121"/>
      <c r="B17" s="105" t="s">
        <v>19</v>
      </c>
      <c r="C17" s="131"/>
      <c r="D17" s="73">
        <f>D13/4</f>
        <v>315</v>
      </c>
      <c r="E17" s="108"/>
      <c r="F17">
        <v>157.5</v>
      </c>
    </row>
    <row r="18" ht="22" hidden="1" customHeight="1" spans="1:5">
      <c r="A18" s="121"/>
      <c r="B18" s="73" t="s">
        <v>20</v>
      </c>
      <c r="C18" s="74"/>
      <c r="D18" s="73">
        <v>0</v>
      </c>
      <c r="E18" s="74"/>
    </row>
    <row r="19" ht="22" customHeight="1" spans="1:10">
      <c r="A19" s="121"/>
      <c r="B19" s="73" t="s">
        <v>21</v>
      </c>
      <c r="C19" s="74"/>
      <c r="D19" s="73">
        <v>100</v>
      </c>
      <c r="E19" s="74"/>
      <c r="G19" s="110" t="s">
        <v>22</v>
      </c>
      <c r="J19" s="132"/>
    </row>
    <row r="20" ht="22" customHeight="1" spans="1:10">
      <c r="A20" s="121"/>
      <c r="B20" s="101" t="s">
        <v>23</v>
      </c>
      <c r="C20" s="102"/>
      <c r="D20" s="109" t="s">
        <v>24</v>
      </c>
      <c r="E20" s="104"/>
      <c r="F20" s="110" t="s">
        <v>25</v>
      </c>
      <c r="G20" s="110">
        <f>D15-D16-D18-D19-D17</f>
        <v>3115</v>
      </c>
      <c r="J20" s="133"/>
    </row>
    <row r="21" s="49" customFormat="1" ht="25" customHeight="1" spans="1:4">
      <c r="A21" s="77" t="s">
        <v>26</v>
      </c>
      <c r="B21" s="77"/>
      <c r="C21" s="77"/>
      <c r="D21" s="77"/>
    </row>
    <row r="22" ht="22" customHeight="1" spans="1:5">
      <c r="A22" s="78" t="s">
        <v>27</v>
      </c>
      <c r="B22" s="79" t="s">
        <v>28</v>
      </c>
      <c r="C22" s="80"/>
      <c r="D22" s="81" t="s">
        <v>29</v>
      </c>
      <c r="E22" s="82"/>
    </row>
    <row r="23" ht="22" customHeight="1" spans="1:5">
      <c r="A23" s="83"/>
      <c r="B23" s="79" t="s">
        <v>30</v>
      </c>
      <c r="C23" s="80"/>
      <c r="D23" s="84" t="s">
        <v>31</v>
      </c>
      <c r="E23" s="80"/>
    </row>
    <row r="24" ht="22" customHeight="1" spans="1:5">
      <c r="A24" s="83"/>
      <c r="B24" s="79" t="s">
        <v>32</v>
      </c>
      <c r="C24" s="80"/>
      <c r="D24" s="84" t="s">
        <v>31</v>
      </c>
      <c r="E24" s="80"/>
    </row>
    <row r="25" ht="22" customHeight="1" spans="1:5">
      <c r="A25" s="83"/>
      <c r="B25" s="79" t="s">
        <v>33</v>
      </c>
      <c r="C25" s="80"/>
      <c r="D25" s="84" t="s">
        <v>34</v>
      </c>
      <c r="E25" s="80"/>
    </row>
    <row r="26" ht="22" customHeight="1" spans="1:5">
      <c r="A26" s="83"/>
      <c r="B26" s="79"/>
      <c r="C26" s="80"/>
      <c r="D26" s="84" t="s">
        <v>35</v>
      </c>
      <c r="E26" s="80"/>
    </row>
    <row r="27" ht="22" customHeight="1" spans="1:5">
      <c r="A27" s="83"/>
      <c r="B27" s="79"/>
      <c r="C27" s="80"/>
      <c r="D27" s="84" t="s">
        <v>36</v>
      </c>
      <c r="E27" s="80"/>
    </row>
    <row r="28" ht="22" customHeight="1" spans="1:5">
      <c r="A28" s="83"/>
      <c r="B28" s="79" t="s">
        <v>37</v>
      </c>
      <c r="C28" s="80"/>
      <c r="D28" s="84" t="s">
        <v>38</v>
      </c>
      <c r="E28" s="80"/>
    </row>
    <row r="29" ht="22" customHeight="1" spans="1:5">
      <c r="A29" s="83"/>
      <c r="B29" s="79" t="s">
        <v>39</v>
      </c>
      <c r="C29" s="80"/>
      <c r="D29" s="84" t="s">
        <v>40</v>
      </c>
      <c r="E29" s="80"/>
    </row>
    <row r="30" ht="22" customHeight="1" spans="1:5">
      <c r="A30" s="83"/>
      <c r="B30" s="79" t="s">
        <v>41</v>
      </c>
      <c r="C30" s="80"/>
      <c r="D30" s="84" t="s">
        <v>42</v>
      </c>
      <c r="E30" s="80"/>
    </row>
    <row r="31" ht="22" customHeight="1" spans="1:5">
      <c r="A31" s="83"/>
      <c r="B31" s="85" t="s">
        <v>43</v>
      </c>
      <c r="C31" s="80"/>
      <c r="D31" s="84" t="s">
        <v>44</v>
      </c>
      <c r="E31" s="80"/>
    </row>
    <row r="32" ht="22" customHeight="1" spans="1:5">
      <c r="A32" s="83"/>
      <c r="B32" s="85" t="s">
        <v>45</v>
      </c>
      <c r="C32" s="86"/>
      <c r="D32" s="84" t="s">
        <v>46</v>
      </c>
      <c r="E32" s="80"/>
    </row>
    <row r="33" ht="22" customHeight="1" spans="1:5">
      <c r="A33" s="83"/>
      <c r="B33" s="85" t="s">
        <v>47</v>
      </c>
      <c r="C33" s="86"/>
      <c r="D33" s="87" t="s">
        <v>48</v>
      </c>
      <c r="E33" s="86"/>
    </row>
    <row r="34" ht="22" customHeight="1" spans="1:5">
      <c r="A34" s="83"/>
      <c r="B34" s="85"/>
      <c r="C34" s="86"/>
      <c r="D34" s="87" t="s">
        <v>49</v>
      </c>
      <c r="E34" s="86"/>
    </row>
    <row r="35" ht="22" customHeight="1" spans="1:5">
      <c r="A35" s="83"/>
      <c r="B35" s="85" t="s">
        <v>50</v>
      </c>
      <c r="C35" s="86"/>
      <c r="D35" s="84" t="s">
        <v>51</v>
      </c>
      <c r="E35" s="80"/>
    </row>
    <row r="36" ht="25" customHeight="1" spans="1:5">
      <c r="A36" s="88"/>
      <c r="B36" s="73" t="s">
        <v>52</v>
      </c>
      <c r="C36" s="74"/>
      <c r="D36" s="89" t="s">
        <v>53</v>
      </c>
      <c r="E36" s="90"/>
    </row>
    <row r="37" ht="102.5" customHeight="1" spans="1:5">
      <c r="A37" s="91" t="s">
        <v>54</v>
      </c>
      <c r="B37" s="92"/>
      <c r="C37" s="92"/>
      <c r="D37" s="92"/>
      <c r="E37" s="92"/>
    </row>
    <row r="38" ht="4.5" customHeight="1"/>
    <row r="39" ht="50" customHeight="1" spans="1:5">
      <c r="A39" s="117"/>
      <c r="B39" s="117"/>
      <c r="C39" s="117"/>
      <c r="D39" s="117"/>
      <c r="E39" s="118"/>
    </row>
  </sheetData>
  <sheetProtection formatCells="0" insertHyperlinks="0" autoFilter="0"/>
  <mergeCells count="56">
    <mergeCell ref="A1:E1"/>
    <mergeCell ref="A2:E2"/>
    <mergeCell ref="A3:E3"/>
    <mergeCell ref="A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2:C22"/>
    <mergeCell ref="D22:E22"/>
    <mergeCell ref="B23:C23"/>
    <mergeCell ref="D23:E23"/>
    <mergeCell ref="B24:C24"/>
    <mergeCell ref="D25:E25"/>
    <mergeCell ref="D26:E26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D33:E33"/>
    <mergeCell ref="D34:E34"/>
    <mergeCell ref="B35:C35"/>
    <mergeCell ref="D35:E35"/>
    <mergeCell ref="B36:C36"/>
    <mergeCell ref="D36:E36"/>
    <mergeCell ref="A37:E37"/>
    <mergeCell ref="A10:A20"/>
    <mergeCell ref="A22:A36"/>
    <mergeCell ref="J19:J20"/>
    <mergeCell ref="B33:C34"/>
    <mergeCell ref="B25:C27"/>
  </mergeCells>
  <dataValidations count="3">
    <dataValidation type="list" allowBlank="1" showInputMessage="1" showErrorMessage="1" sqref="B6">
      <formula1>Pines价格明细!$J$1:$J$4</formula1>
    </dataValidation>
    <dataValidation type="list" allowBlank="1" showInputMessage="1" showErrorMessage="1" sqref="E7 B13:C13">
      <formula1>Pines价格明细!$F$3:$F$16</formula1>
    </dataValidation>
    <dataValidation type="list" allowBlank="1" showInputMessage="1" showErrorMessage="1" sqref="B8 B12:C12">
      <formula1>Pines价格明细!$A$3:$A$19</formula1>
    </dataValidation>
  </dataValidations>
  <hyperlinks>
    <hyperlink ref="A3" r:id="rId1" display="微信/电话：13249827686  邮箱: startedu86@163.com" tooltip="mailto:muqingenglish@163.com"/>
  </hyperlinks>
  <pageMargins left="0.375" right="0.375" top="0.5" bottom="0.5" header="0.25" footer="0.25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showGridLines="0" zoomScale="97" zoomScaleNormal="97" topLeftCell="A29" workbookViewId="0">
      <selection activeCell="D41" sqref="D41:E41"/>
    </sheetView>
  </sheetViews>
  <sheetFormatPr defaultColWidth="8.925" defaultRowHeight="15.6" outlineLevelCol="6"/>
  <cols>
    <col min="1" max="1" width="10.8333333333333" customWidth="1"/>
    <col min="2" max="2" width="17.6583333333333" customWidth="1"/>
    <col min="3" max="3" width="27.6333333333333" customWidth="1"/>
    <col min="4" max="4" width="12.6" customWidth="1"/>
    <col min="5" max="5" width="23.15" style="50" customWidth="1"/>
  </cols>
  <sheetData>
    <row r="1" ht="59.15" customHeight="1" spans="1:7">
      <c r="A1" s="51" t="s">
        <v>0</v>
      </c>
      <c r="B1" s="51"/>
      <c r="C1" s="51"/>
      <c r="D1" s="51"/>
      <c r="E1" s="51"/>
      <c r="F1" s="52"/>
      <c r="G1" s="52"/>
    </row>
    <row r="2" spans="1:7">
      <c r="A2" s="53"/>
      <c r="B2" s="53"/>
      <c r="C2" s="53"/>
      <c r="D2" s="53"/>
      <c r="E2" s="53"/>
      <c r="F2" s="54"/>
      <c r="G2" s="54"/>
    </row>
    <row r="3" spans="1:5">
      <c r="A3" s="53" t="s">
        <v>1</v>
      </c>
      <c r="B3" s="53"/>
      <c r="C3" s="53"/>
      <c r="D3" s="53"/>
      <c r="E3" s="53"/>
    </row>
    <row r="4" ht="8.15" customHeight="1"/>
    <row r="5" ht="9" customHeight="1" spans="1:5">
      <c r="A5" s="55" t="s">
        <v>2</v>
      </c>
      <c r="B5" s="56"/>
      <c r="C5" s="56"/>
      <c r="D5" s="56"/>
      <c r="E5" s="57"/>
    </row>
    <row r="6" ht="22" customHeight="1" spans="1:5">
      <c r="A6" s="58" t="s">
        <v>3</v>
      </c>
      <c r="B6" s="58" t="s">
        <v>55</v>
      </c>
      <c r="C6" s="59"/>
      <c r="D6" s="59" t="s">
        <v>5</v>
      </c>
      <c r="E6" s="60">
        <v>45881</v>
      </c>
    </row>
    <row r="7" ht="6" customHeight="1" spans="1:5">
      <c r="A7" s="61"/>
      <c r="B7" s="61"/>
      <c r="C7" s="62"/>
      <c r="D7" s="62"/>
      <c r="E7" s="63"/>
    </row>
    <row r="8" ht="22" customHeight="1" spans="1:5">
      <c r="A8" s="64" t="s">
        <v>56</v>
      </c>
      <c r="B8" s="58" t="s">
        <v>57</v>
      </c>
      <c r="C8" s="58" t="s">
        <v>58</v>
      </c>
      <c r="D8" s="59"/>
      <c r="E8" s="64" t="s">
        <v>59</v>
      </c>
    </row>
    <row r="9" ht="22" customHeight="1" spans="1:5">
      <c r="A9" s="65">
        <v>4</v>
      </c>
      <c r="B9" s="66" t="s">
        <v>60</v>
      </c>
      <c r="C9" s="93" t="str">
        <f>VLOOKUP(B9,Pines价格明细!A4:C20,3,FALSE)</f>
        <v>一对一4课时+小组课4课时</v>
      </c>
      <c r="D9" s="59"/>
      <c r="E9" s="58" t="s">
        <v>61</v>
      </c>
    </row>
    <row r="10" ht="22" customHeight="1" spans="1:5">
      <c r="A10" s="65">
        <v>8</v>
      </c>
      <c r="B10" s="66" t="s">
        <v>10</v>
      </c>
      <c r="C10" s="93" t="str">
        <f>VLOOKUP(B10,Pines价格明细!A3:D19,3,FALSE)</f>
        <v>一对一4课时+小组课3课时+选修课</v>
      </c>
      <c r="D10" s="59"/>
      <c r="E10" s="58" t="s">
        <v>62</v>
      </c>
    </row>
    <row r="11" ht="24" customHeight="1" spans="1:5">
      <c r="A11" s="41" t="s">
        <v>11</v>
      </c>
      <c r="B11" s="41"/>
      <c r="C11" s="41"/>
      <c r="D11" s="41"/>
      <c r="E11" s="41"/>
    </row>
    <row r="12" ht="22" customHeight="1" spans="1:5">
      <c r="A12" s="67" t="s">
        <v>12</v>
      </c>
      <c r="B12" s="67" t="s">
        <v>13</v>
      </c>
      <c r="C12" s="67"/>
      <c r="D12" s="68" t="s">
        <v>14</v>
      </c>
      <c r="E12" s="69"/>
    </row>
    <row r="13" ht="22" customHeight="1" spans="1:5">
      <c r="A13" s="67"/>
      <c r="B13" s="67" t="s">
        <v>15</v>
      </c>
      <c r="C13" s="67"/>
      <c r="D13" s="68">
        <v>100</v>
      </c>
      <c r="E13" s="70"/>
    </row>
    <row r="14" ht="22" customHeight="1" spans="1:5">
      <c r="A14" s="67"/>
      <c r="B14" s="94" t="s">
        <v>60</v>
      </c>
      <c r="C14" s="94"/>
      <c r="D14" s="95">
        <f>VLOOKUP($B14,Pines价格明细!A3:C19,2,)*($A$9/4)</f>
        <v>930</v>
      </c>
      <c r="E14" s="96"/>
    </row>
    <row r="15" ht="22" customHeight="1" spans="1:5">
      <c r="A15" s="67"/>
      <c r="B15" s="94" t="s">
        <v>10</v>
      </c>
      <c r="C15" s="94"/>
      <c r="D15" s="95">
        <f>VLOOKUP($B15,Pines价格明细!A4:C20,2,)*($A$10/4)</f>
        <v>2200</v>
      </c>
      <c r="E15" s="96"/>
    </row>
    <row r="16" ht="22" customHeight="1" spans="1:5">
      <c r="A16" s="67"/>
      <c r="B16" s="95" t="s">
        <v>61</v>
      </c>
      <c r="C16" s="96"/>
      <c r="D16" s="68">
        <f>VLOOKUP($B16,Pines价格明细!F3:G16,2,FALSE)*(A9/4)</f>
        <v>840</v>
      </c>
      <c r="E16" s="69"/>
    </row>
    <row r="17" ht="22" customHeight="1" spans="1:5">
      <c r="A17" s="67"/>
      <c r="B17" s="95" t="s">
        <v>62</v>
      </c>
      <c r="C17" s="96"/>
      <c r="D17" s="68" t="e">
        <f>VLOOKUP($B17,Pines价格明细!F3:G16,2,FALSE)*(A10/4)</f>
        <v>#N/A</v>
      </c>
      <c r="E17" s="69"/>
    </row>
    <row r="18" ht="35" hidden="1" customHeight="1" spans="1:6">
      <c r="A18" s="67"/>
      <c r="B18" s="97" t="s">
        <v>63</v>
      </c>
      <c r="C18" s="98"/>
      <c r="D18" s="99">
        <v>0</v>
      </c>
      <c r="E18" s="100"/>
      <c r="F18">
        <v>40</v>
      </c>
    </row>
    <row r="19" ht="22" customHeight="1" spans="1:5">
      <c r="A19" s="67"/>
      <c r="B19" s="101" t="s">
        <v>17</v>
      </c>
      <c r="C19" s="102"/>
      <c r="D19" s="103" t="e">
        <f>SUM(D13:E18)</f>
        <v>#N/A</v>
      </c>
      <c r="E19" s="104"/>
    </row>
    <row r="20" ht="35" customHeight="1" spans="1:5">
      <c r="A20" s="67"/>
      <c r="B20" s="105" t="s">
        <v>64</v>
      </c>
      <c r="C20" s="74"/>
      <c r="D20" s="73">
        <v>450</v>
      </c>
      <c r="E20" s="74"/>
    </row>
    <row r="21" ht="40" customHeight="1" spans="1:6">
      <c r="A21" s="67"/>
      <c r="B21" s="106" t="s">
        <v>65</v>
      </c>
      <c r="C21" s="107"/>
      <c r="D21" s="73">
        <v>210</v>
      </c>
      <c r="E21" s="108"/>
      <c r="F21">
        <v>262.5</v>
      </c>
    </row>
    <row r="22" ht="35" customHeight="1" spans="1:6">
      <c r="A22" s="67"/>
      <c r="B22" s="106" t="s">
        <v>66</v>
      </c>
      <c r="C22" s="74"/>
      <c r="D22" s="73">
        <v>100</v>
      </c>
      <c r="E22" s="74"/>
      <c r="F22">
        <v>150</v>
      </c>
    </row>
    <row r="23" ht="22" customHeight="1" spans="1:6">
      <c r="A23" s="67"/>
      <c r="B23" s="73" t="s">
        <v>20</v>
      </c>
      <c r="C23" s="74"/>
      <c r="D23" s="73">
        <v>100</v>
      </c>
      <c r="E23" s="74"/>
      <c r="F23">
        <v>100</v>
      </c>
    </row>
    <row r="24" ht="22" customHeight="1" spans="1:5">
      <c r="A24" s="67"/>
      <c r="B24" s="73" t="s">
        <v>21</v>
      </c>
      <c r="C24" s="108"/>
      <c r="D24" s="73">
        <v>100</v>
      </c>
      <c r="E24" s="108"/>
    </row>
    <row r="25" ht="22" customHeight="1" spans="1:7">
      <c r="A25" s="67"/>
      <c r="B25" s="101" t="s">
        <v>67</v>
      </c>
      <c r="C25" s="102"/>
      <c r="D25" s="109" t="s">
        <v>68</v>
      </c>
      <c r="E25" s="104"/>
      <c r="F25" t="s">
        <v>25</v>
      </c>
      <c r="G25" t="e">
        <f>D19-D20-D21-D22-D23-D24</f>
        <v>#N/A</v>
      </c>
    </row>
    <row r="26" s="49" customFormat="1" ht="17" customHeight="1" spans="1:4">
      <c r="A26" s="77" t="s">
        <v>26</v>
      </c>
      <c r="B26" s="77"/>
      <c r="C26" s="77"/>
      <c r="D26" s="77"/>
    </row>
    <row r="27" ht="22" customHeight="1" spans="1:5">
      <c r="A27" s="78" t="s">
        <v>27</v>
      </c>
      <c r="B27" s="79" t="s">
        <v>28</v>
      </c>
      <c r="C27" s="80"/>
      <c r="D27" s="81" t="s">
        <v>29</v>
      </c>
      <c r="E27" s="82"/>
    </row>
    <row r="28" ht="22" customHeight="1" spans="1:5">
      <c r="A28" s="83"/>
      <c r="B28" s="79" t="s">
        <v>30</v>
      </c>
      <c r="C28" s="80"/>
      <c r="D28" s="84" t="s">
        <v>31</v>
      </c>
      <c r="E28" s="80"/>
    </row>
    <row r="29" ht="22" customHeight="1" spans="1:5">
      <c r="A29" s="83"/>
      <c r="B29" s="79" t="s">
        <v>32</v>
      </c>
      <c r="C29" s="80"/>
      <c r="D29" s="84" t="s">
        <v>31</v>
      </c>
      <c r="E29" s="80"/>
    </row>
    <row r="30" ht="22" customHeight="1" spans="1:5">
      <c r="A30" s="83"/>
      <c r="B30" s="79" t="s">
        <v>33</v>
      </c>
      <c r="C30" s="80"/>
      <c r="D30" s="84" t="s">
        <v>34</v>
      </c>
      <c r="E30" s="80"/>
    </row>
    <row r="31" ht="22" customHeight="1" spans="1:5">
      <c r="A31" s="83"/>
      <c r="B31" s="79"/>
      <c r="C31" s="80"/>
      <c r="D31" s="84" t="s">
        <v>35</v>
      </c>
      <c r="E31" s="80"/>
    </row>
    <row r="32" ht="22" customHeight="1" spans="1:5">
      <c r="A32" s="83"/>
      <c r="B32" s="79"/>
      <c r="C32" s="80"/>
      <c r="D32" s="84" t="s">
        <v>36</v>
      </c>
      <c r="E32" s="80"/>
    </row>
    <row r="33" ht="22" customHeight="1" spans="1:5">
      <c r="A33" s="83"/>
      <c r="B33" s="79" t="s">
        <v>37</v>
      </c>
      <c r="C33" s="80"/>
      <c r="D33" s="84" t="s">
        <v>38</v>
      </c>
      <c r="E33" s="80"/>
    </row>
    <row r="34" ht="22" customHeight="1" spans="1:5">
      <c r="A34" s="83"/>
      <c r="B34" s="79" t="s">
        <v>39</v>
      </c>
      <c r="C34" s="80"/>
      <c r="D34" s="84" t="s">
        <v>40</v>
      </c>
      <c r="E34" s="80"/>
    </row>
    <row r="35" ht="22" customHeight="1" spans="1:5">
      <c r="A35" s="83"/>
      <c r="B35" s="79" t="s">
        <v>41</v>
      </c>
      <c r="C35" s="80"/>
      <c r="D35" s="84" t="s">
        <v>42</v>
      </c>
      <c r="E35" s="80"/>
    </row>
    <row r="36" ht="22" customHeight="1" spans="1:5">
      <c r="A36" s="83"/>
      <c r="B36" s="85" t="s">
        <v>43</v>
      </c>
      <c r="C36" s="80"/>
      <c r="D36" s="84" t="s">
        <v>69</v>
      </c>
      <c r="E36" s="80"/>
    </row>
    <row r="37" ht="22" customHeight="1" spans="1:5">
      <c r="A37" s="83"/>
      <c r="B37" s="85" t="s">
        <v>45</v>
      </c>
      <c r="C37" s="86"/>
      <c r="D37" s="84" t="s">
        <v>46</v>
      </c>
      <c r="E37" s="80"/>
    </row>
    <row r="38" ht="22" customHeight="1" spans="1:5">
      <c r="A38" s="83"/>
      <c r="B38" s="85" t="s">
        <v>47</v>
      </c>
      <c r="C38" s="86"/>
      <c r="D38" s="87" t="s">
        <v>48</v>
      </c>
      <c r="E38" s="86"/>
    </row>
    <row r="39" ht="22" customHeight="1" spans="1:5">
      <c r="A39" s="83"/>
      <c r="B39" s="85"/>
      <c r="C39" s="86"/>
      <c r="D39" s="87" t="s">
        <v>49</v>
      </c>
      <c r="E39" s="86"/>
    </row>
    <row r="40" ht="22" customHeight="1" spans="1:5">
      <c r="A40" s="83"/>
      <c r="B40" s="85" t="s">
        <v>50</v>
      </c>
      <c r="C40" s="86"/>
      <c r="D40" s="84" t="s">
        <v>51</v>
      </c>
      <c r="E40" s="80"/>
    </row>
    <row r="41" ht="22" customHeight="1" spans="1:5">
      <c r="A41" s="88"/>
      <c r="B41" s="73" t="s">
        <v>52</v>
      </c>
      <c r="C41" s="74"/>
      <c r="D41" s="89" t="s">
        <v>53</v>
      </c>
      <c r="E41" s="90"/>
    </row>
    <row r="42" ht="80" customHeight="1" spans="1:5">
      <c r="A42" s="91" t="s">
        <v>54</v>
      </c>
      <c r="B42" s="92"/>
      <c r="C42" s="92"/>
      <c r="D42" s="92"/>
      <c r="E42" s="92"/>
    </row>
    <row r="43" ht="16.35" spans="1:5">
      <c r="A43" s="56"/>
      <c r="B43" s="56"/>
      <c r="C43" s="56"/>
      <c r="D43" s="56"/>
      <c r="E43" s="57"/>
    </row>
  </sheetData>
  <sheetProtection formatCells="0" insertHyperlinks="0" autoFilter="0"/>
  <mergeCells count="61">
    <mergeCell ref="A1:E1"/>
    <mergeCell ref="A2:E2"/>
    <mergeCell ref="A3:E3"/>
    <mergeCell ref="A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7:C27"/>
    <mergeCell ref="D27:E27"/>
    <mergeCell ref="B28:C28"/>
    <mergeCell ref="D28:E28"/>
    <mergeCell ref="B29:C29"/>
    <mergeCell ref="D30:E30"/>
    <mergeCell ref="D31:E31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D38:E38"/>
    <mergeCell ref="D39:E39"/>
    <mergeCell ref="B40:C40"/>
    <mergeCell ref="D40:E40"/>
    <mergeCell ref="B41:C41"/>
    <mergeCell ref="D41:E41"/>
    <mergeCell ref="A42:E42"/>
    <mergeCell ref="A12:A25"/>
    <mergeCell ref="A27:A41"/>
    <mergeCell ref="B30:C32"/>
    <mergeCell ref="B38:C39"/>
  </mergeCells>
  <dataValidations count="5">
    <dataValidation type="list" allowBlank="1" showInputMessage="1" showErrorMessage="1" sqref="B6">
      <formula1>Pines价格明细!$J$1:$J$4</formula1>
    </dataValidation>
    <dataValidation type="list" allowBlank="1" showInputMessage="1" showErrorMessage="1" sqref="B7 E8">
      <formula1/>
    </dataValidation>
    <dataValidation type="list" allowBlank="1" showInputMessage="1" showErrorMessage="1" sqref="B14:C14 B9:B10">
      <formula1>Pines价格明细!$A$3:$A$19</formula1>
    </dataValidation>
    <dataValidation type="list" allowBlank="1" showInputMessage="1" showErrorMessage="1" sqref="B15:C15">
      <formula1>Pines价格明细!$A$3:$A$18</formula1>
    </dataValidation>
    <dataValidation type="list" allowBlank="1" showInputMessage="1" showErrorMessage="1" sqref="E9:E10 B16:C17">
      <formula1>Pines价格明细!$F$3:$F$16</formula1>
    </dataValidation>
  </dataValidations>
  <hyperlinks>
    <hyperlink ref="A3" r:id="rId1" display="微信/电话：13249827686  邮箱: startedu86@163.com" tooltip="mailto:muqingenglish@163.com"/>
  </hyperlinks>
  <pageMargins left="0.75" right="0.75" top="1" bottom="1" header="0.509027777777778" footer="0.509027777777778"/>
  <pageSetup paperSize="9" scale="77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showGridLines="0" zoomScale="104" zoomScaleNormal="104" workbookViewId="0">
      <selection activeCell="D42" sqref="D42:E42"/>
    </sheetView>
  </sheetViews>
  <sheetFormatPr defaultColWidth="8.925" defaultRowHeight="15.6" outlineLevelCol="6"/>
  <cols>
    <col min="1" max="1" width="10.8333333333333" customWidth="1"/>
    <col min="2" max="2" width="17.6583333333333" customWidth="1"/>
    <col min="3" max="3" width="20.7416666666667" customWidth="1"/>
    <col min="4" max="4" width="16.6" customWidth="1"/>
    <col min="5" max="5" width="19.5083333333333" style="50" customWidth="1"/>
  </cols>
  <sheetData>
    <row r="1" ht="59.15" customHeight="1" spans="1:7">
      <c r="A1" s="51" t="s">
        <v>0</v>
      </c>
      <c r="B1" s="51"/>
      <c r="C1" s="51"/>
      <c r="D1" s="51"/>
      <c r="E1" s="51"/>
      <c r="F1" s="52"/>
      <c r="G1" s="52"/>
    </row>
    <row r="2" spans="1:7">
      <c r="A2" s="53"/>
      <c r="B2" s="53"/>
      <c r="C2" s="53"/>
      <c r="D2" s="53"/>
      <c r="E2" s="53"/>
      <c r="F2" s="54"/>
      <c r="G2" s="54"/>
    </row>
    <row r="3" spans="1:5">
      <c r="A3" s="53" t="s">
        <v>1</v>
      </c>
      <c r="B3" s="53"/>
      <c r="C3" s="53"/>
      <c r="D3" s="53"/>
      <c r="E3" s="53"/>
    </row>
    <row r="4" ht="8.15" customHeight="1"/>
    <row r="5" ht="9" customHeight="1" spans="1:5">
      <c r="A5" s="55" t="s">
        <v>2</v>
      </c>
      <c r="B5" s="56"/>
      <c r="C5" s="56"/>
      <c r="D5" s="56"/>
      <c r="E5" s="57"/>
    </row>
    <row r="6" ht="22" customHeight="1" spans="1:5">
      <c r="A6" s="58" t="s">
        <v>3</v>
      </c>
      <c r="B6" s="58" t="s">
        <v>70</v>
      </c>
      <c r="C6" s="59"/>
      <c r="D6" s="59" t="s">
        <v>5</v>
      </c>
      <c r="E6" s="60">
        <v>45072</v>
      </c>
    </row>
    <row r="7" ht="6" customHeight="1" spans="1:5">
      <c r="A7" s="61"/>
      <c r="B7" s="61"/>
      <c r="C7" s="62"/>
      <c r="D7" s="62"/>
      <c r="E7" s="63"/>
    </row>
    <row r="8" ht="22" customHeight="1" spans="1:5">
      <c r="A8" s="64" t="s">
        <v>56</v>
      </c>
      <c r="B8" s="58" t="s">
        <v>57</v>
      </c>
      <c r="C8" s="58" t="s">
        <v>58</v>
      </c>
      <c r="D8" s="59"/>
      <c r="E8" s="64" t="s">
        <v>59</v>
      </c>
    </row>
    <row r="9" ht="22" customHeight="1" spans="1:5">
      <c r="A9" s="65">
        <v>4</v>
      </c>
      <c r="B9" s="66" t="s">
        <v>60</v>
      </c>
      <c r="C9" s="66" t="str">
        <f>VLOOKUP($B$9,Pines价格明细!A3:C18,3,FALSE)</f>
        <v>一对一4课时+小组课4课时</v>
      </c>
      <c r="D9" s="59"/>
      <c r="E9" s="66" t="s">
        <v>71</v>
      </c>
    </row>
    <row r="10" ht="22" customHeight="1" spans="1:5">
      <c r="A10" s="65">
        <v>2</v>
      </c>
      <c r="B10" s="66" t="s">
        <v>60</v>
      </c>
      <c r="C10" s="66" t="str">
        <f>VLOOKUP($B$9,Pines价格明细!A4:C20,3,FALSE)</f>
        <v>一对一4课时+小组课4课时</v>
      </c>
      <c r="D10" s="59"/>
      <c r="E10" s="66" t="s">
        <v>72</v>
      </c>
    </row>
    <row r="11" ht="22" customHeight="1" spans="1:5">
      <c r="A11" s="65">
        <v>6</v>
      </c>
      <c r="B11" s="66" t="s">
        <v>60</v>
      </c>
      <c r="C11" s="66" t="str">
        <f>VLOOKUP($B$11,Pines价格明细!A4:C20,3,FALSE)</f>
        <v>一对一4课时+小组课4课时</v>
      </c>
      <c r="D11" s="59"/>
      <c r="E11" s="66" t="s">
        <v>71</v>
      </c>
    </row>
    <row r="12" ht="24" customHeight="1" spans="1:5">
      <c r="A12" s="41" t="s">
        <v>73</v>
      </c>
      <c r="B12" s="41"/>
      <c r="C12" s="41"/>
      <c r="D12" s="41"/>
      <c r="E12" s="41"/>
    </row>
    <row r="13" ht="22" customHeight="1" spans="1:5">
      <c r="A13" s="67" t="s">
        <v>12</v>
      </c>
      <c r="B13" s="67" t="s">
        <v>13</v>
      </c>
      <c r="C13" s="67"/>
      <c r="D13" s="68" t="s">
        <v>14</v>
      </c>
      <c r="E13" s="69"/>
    </row>
    <row r="14" ht="22" customHeight="1" spans="1:5">
      <c r="A14" s="67"/>
      <c r="B14" s="67" t="s">
        <v>15</v>
      </c>
      <c r="C14" s="67"/>
      <c r="D14" s="68">
        <v>100</v>
      </c>
      <c r="E14" s="70"/>
    </row>
    <row r="15" ht="22" customHeight="1" spans="1:5">
      <c r="A15" s="67"/>
      <c r="B15" s="67" t="s">
        <v>60</v>
      </c>
      <c r="C15" s="67"/>
      <c r="D15" s="68">
        <f>VLOOKUP($B15,Pines价格明细!A3:C19,2,FALSE)*($A$9/4)</f>
        <v>930</v>
      </c>
      <c r="E15" s="69"/>
    </row>
    <row r="16" ht="22" customHeight="1" spans="1:5">
      <c r="A16" s="67"/>
      <c r="B16" s="67" t="s">
        <v>60</v>
      </c>
      <c r="C16" s="67"/>
      <c r="D16" s="68">
        <f>VLOOKUP($B16,Pines价格明细!A4:C20,2,FALSE)*($A$10/4)</f>
        <v>465</v>
      </c>
      <c r="E16" s="69"/>
    </row>
    <row r="17" ht="22" customHeight="1" spans="1:5">
      <c r="A17" s="67"/>
      <c r="B17" s="67" t="s">
        <v>60</v>
      </c>
      <c r="C17" s="67"/>
      <c r="D17" s="68">
        <f>VLOOKUP($B17,Pines价格明细!A4:C20,2,FALSE)*($A$11/4)</f>
        <v>1395</v>
      </c>
      <c r="E17" s="69"/>
    </row>
    <row r="18" ht="22" customHeight="1" spans="1:5">
      <c r="A18" s="67"/>
      <c r="B18" s="68" t="s">
        <v>74</v>
      </c>
      <c r="C18" s="69"/>
      <c r="D18" s="68">
        <f>VLOOKUP($B18,Pines价格明细!F3:G16,2,FALSE)*(A9/4)</f>
        <v>700</v>
      </c>
      <c r="E18" s="69"/>
    </row>
    <row r="19" ht="22" customHeight="1" spans="1:5">
      <c r="A19" s="67"/>
      <c r="B19" s="68" t="s">
        <v>72</v>
      </c>
      <c r="C19" s="69"/>
      <c r="D19" s="68">
        <f>VLOOKUP($B19,Pines价格明细!F4:G15,2,FALSE)*(A10/4)</f>
        <v>485</v>
      </c>
      <c r="E19" s="69"/>
    </row>
    <row r="20" ht="22" customHeight="1" spans="1:5">
      <c r="A20" s="67"/>
      <c r="B20" s="68" t="s">
        <v>75</v>
      </c>
      <c r="C20" s="69"/>
      <c r="D20" s="68">
        <f>VLOOKUP($B20,Pines价格明细!F4:G20,2,FALSE)*(A11/4)</f>
        <v>855</v>
      </c>
      <c r="E20" s="69"/>
    </row>
    <row r="21" ht="22" customHeight="1" spans="1:5">
      <c r="A21" s="67"/>
      <c r="B21" s="71" t="s">
        <v>17</v>
      </c>
      <c r="C21" s="72"/>
      <c r="D21" s="73">
        <f>SUM(D14:E20)</f>
        <v>4930</v>
      </c>
      <c r="E21" s="74"/>
    </row>
    <row r="22" ht="22" customHeight="1" spans="1:5">
      <c r="A22" s="67"/>
      <c r="B22" s="73" t="s">
        <v>76</v>
      </c>
      <c r="C22" s="74"/>
      <c r="D22" s="73">
        <v>100</v>
      </c>
      <c r="E22" s="74"/>
    </row>
    <row r="23" ht="22" customHeight="1" spans="1:6">
      <c r="A23" s="67"/>
      <c r="B23" s="73" t="s">
        <v>77</v>
      </c>
      <c r="C23" s="74"/>
      <c r="D23" s="73">
        <v>300</v>
      </c>
      <c r="E23" s="74"/>
      <c r="F23">
        <v>150</v>
      </c>
    </row>
    <row r="24" ht="22" customHeight="1" spans="1:5">
      <c r="A24" s="67"/>
      <c r="B24" s="73" t="s">
        <v>78</v>
      </c>
      <c r="C24" s="74"/>
      <c r="D24" s="73">
        <v>0</v>
      </c>
      <c r="E24" s="74"/>
    </row>
    <row r="25" ht="22" customHeight="1" spans="1:6">
      <c r="A25" s="67"/>
      <c r="B25" s="73" t="s">
        <v>79</v>
      </c>
      <c r="C25" s="74"/>
      <c r="D25" s="73">
        <v>100</v>
      </c>
      <c r="E25" s="74"/>
      <c r="F25">
        <v>50</v>
      </c>
    </row>
    <row r="26" ht="22" customHeight="1" spans="1:7">
      <c r="A26" s="67"/>
      <c r="B26" s="71" t="s">
        <v>67</v>
      </c>
      <c r="C26" s="72"/>
      <c r="D26" s="75" t="str">
        <f>(D21-D22-D23-D25-D24)&amp;"美元（约"&amp;((D21-D22-D23-D25-D24)*Pines价格明细!E4)&amp;"元人民币）"</f>
        <v>4430美元（约32471.9元人民币）</v>
      </c>
      <c r="E26" s="76"/>
      <c r="F26" t="s">
        <v>25</v>
      </c>
      <c r="G26">
        <f>D21-D22-D23-D25-D24</f>
        <v>4430</v>
      </c>
    </row>
    <row r="27" s="49" customFormat="1" ht="25" customHeight="1" spans="1:4">
      <c r="A27" s="77" t="s">
        <v>26</v>
      </c>
      <c r="B27" s="77"/>
      <c r="C27" s="77"/>
      <c r="D27" s="77"/>
    </row>
    <row r="28" ht="22" customHeight="1" spans="1:5">
      <c r="A28" s="78" t="s">
        <v>27</v>
      </c>
      <c r="B28" s="79" t="s">
        <v>28</v>
      </c>
      <c r="C28" s="80"/>
      <c r="D28" s="81" t="s">
        <v>29</v>
      </c>
      <c r="E28" s="82"/>
    </row>
    <row r="29" ht="22" customHeight="1" spans="1:5">
      <c r="A29" s="83"/>
      <c r="B29" s="79" t="s">
        <v>30</v>
      </c>
      <c r="C29" s="80"/>
      <c r="D29" s="84" t="s">
        <v>31</v>
      </c>
      <c r="E29" s="80"/>
    </row>
    <row r="30" ht="22" customHeight="1" spans="1:5">
      <c r="A30" s="83"/>
      <c r="B30" s="79" t="s">
        <v>32</v>
      </c>
      <c r="C30" s="80"/>
      <c r="D30" s="84" t="s">
        <v>31</v>
      </c>
      <c r="E30" s="80"/>
    </row>
    <row r="31" ht="22" customHeight="1" spans="1:5">
      <c r="A31" s="83"/>
      <c r="B31" s="79" t="s">
        <v>33</v>
      </c>
      <c r="C31" s="80"/>
      <c r="D31" s="84" t="s">
        <v>34</v>
      </c>
      <c r="E31" s="80"/>
    </row>
    <row r="32" ht="22" customHeight="1" spans="1:5">
      <c r="A32" s="83"/>
      <c r="B32" s="79"/>
      <c r="C32" s="80"/>
      <c r="D32" s="84" t="s">
        <v>35</v>
      </c>
      <c r="E32" s="80"/>
    </row>
    <row r="33" ht="22" customHeight="1" spans="1:5">
      <c r="A33" s="83"/>
      <c r="B33" s="79"/>
      <c r="C33" s="80"/>
      <c r="D33" s="84" t="s">
        <v>36</v>
      </c>
      <c r="E33" s="80"/>
    </row>
    <row r="34" ht="22" customHeight="1" spans="1:5">
      <c r="A34" s="83"/>
      <c r="B34" s="79" t="s">
        <v>37</v>
      </c>
      <c r="C34" s="80"/>
      <c r="D34" s="84" t="s">
        <v>38</v>
      </c>
      <c r="E34" s="80"/>
    </row>
    <row r="35" ht="22" customHeight="1" spans="1:5">
      <c r="A35" s="83"/>
      <c r="B35" s="79" t="s">
        <v>39</v>
      </c>
      <c r="C35" s="80"/>
      <c r="D35" s="84" t="s">
        <v>40</v>
      </c>
      <c r="E35" s="80"/>
    </row>
    <row r="36" ht="22" customHeight="1" spans="1:5">
      <c r="A36" s="83"/>
      <c r="B36" s="79" t="s">
        <v>41</v>
      </c>
      <c r="C36" s="80"/>
      <c r="D36" s="84" t="s">
        <v>42</v>
      </c>
      <c r="E36" s="80"/>
    </row>
    <row r="37" ht="22" customHeight="1" spans="1:5">
      <c r="A37" s="83"/>
      <c r="B37" s="85" t="s">
        <v>43</v>
      </c>
      <c r="C37" s="80"/>
      <c r="D37" s="84" t="s">
        <v>69</v>
      </c>
      <c r="E37" s="80"/>
    </row>
    <row r="38" ht="22" customHeight="1" spans="1:5">
      <c r="A38" s="83"/>
      <c r="B38" s="85" t="s">
        <v>45</v>
      </c>
      <c r="C38" s="86"/>
      <c r="D38" s="84" t="s">
        <v>46</v>
      </c>
      <c r="E38" s="80"/>
    </row>
    <row r="39" ht="22" customHeight="1" spans="1:5">
      <c r="A39" s="83"/>
      <c r="B39" s="85" t="s">
        <v>47</v>
      </c>
      <c r="C39" s="86"/>
      <c r="D39" s="87" t="s">
        <v>48</v>
      </c>
      <c r="E39" s="86"/>
    </row>
    <row r="40" ht="22" customHeight="1" spans="1:5">
      <c r="A40" s="83"/>
      <c r="B40" s="85"/>
      <c r="C40" s="86"/>
      <c r="D40" s="87" t="s">
        <v>49</v>
      </c>
      <c r="E40" s="86"/>
    </row>
    <row r="41" ht="22" customHeight="1" spans="1:5">
      <c r="A41" s="83"/>
      <c r="B41" s="85" t="s">
        <v>50</v>
      </c>
      <c r="C41" s="86"/>
      <c r="D41" s="84" t="s">
        <v>51</v>
      </c>
      <c r="E41" s="80"/>
    </row>
    <row r="42" ht="22" customHeight="1" spans="1:5">
      <c r="A42" s="88"/>
      <c r="B42" s="73" t="s">
        <v>52</v>
      </c>
      <c r="C42" s="74"/>
      <c r="D42" s="89" t="s">
        <v>53</v>
      </c>
      <c r="E42" s="90"/>
    </row>
    <row r="43" ht="80" customHeight="1" spans="1:5">
      <c r="A43" s="91" t="s">
        <v>54</v>
      </c>
      <c r="B43" s="92"/>
      <c r="C43" s="92"/>
      <c r="D43" s="92"/>
      <c r="E43" s="92"/>
    </row>
    <row r="44" ht="16.35" spans="1:5">
      <c r="A44" s="56"/>
      <c r="B44" s="56"/>
      <c r="C44" s="56"/>
      <c r="D44" s="56"/>
      <c r="E44" s="57"/>
    </row>
  </sheetData>
  <sheetProtection formatCells="0" insertHyperlinks="0" autoFilter="0"/>
  <mergeCells count="61">
    <mergeCell ref="A1:E1"/>
    <mergeCell ref="A2:E2"/>
    <mergeCell ref="A3:E3"/>
    <mergeCell ref="A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8:C28"/>
    <mergeCell ref="D28:E28"/>
    <mergeCell ref="B29:C29"/>
    <mergeCell ref="D29:E29"/>
    <mergeCell ref="B30:C30"/>
    <mergeCell ref="D31:E31"/>
    <mergeCell ref="D32:E32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D39:E39"/>
    <mergeCell ref="D40:E40"/>
    <mergeCell ref="B41:C41"/>
    <mergeCell ref="D41:E41"/>
    <mergeCell ref="B42:C42"/>
    <mergeCell ref="D42:E42"/>
    <mergeCell ref="A43:E43"/>
    <mergeCell ref="A13:A26"/>
    <mergeCell ref="A28:A42"/>
    <mergeCell ref="B31:C33"/>
    <mergeCell ref="B39:C40"/>
  </mergeCells>
  <dataValidations count="5">
    <dataValidation type="list" allowBlank="1" showInputMessage="1" showErrorMessage="1" sqref="B6">
      <formula1>Pines价格明细!$J$1:$J$4</formula1>
    </dataValidation>
    <dataValidation type="list" allowBlank="1" showInputMessage="1" showErrorMessage="1" sqref="B7 E8">
      <formula1/>
    </dataValidation>
    <dataValidation type="list" allowBlank="1" showInputMessage="1" showErrorMessage="1" sqref="B9:B11">
      <formula1>Pines价格明细!$A$3:$A$19</formula1>
    </dataValidation>
    <dataValidation type="list" allowBlank="1" showInputMessage="1" showErrorMessage="1" sqref="E9:E11 B18:C20">
      <formula1>Pines价格明细!$F$3:$F$16</formula1>
    </dataValidation>
    <dataValidation type="list" allowBlank="1" showInputMessage="1" showErrorMessage="1" sqref="B15:C17">
      <formula1>Pines价格明细!$A$3:$A$18</formula1>
    </dataValidation>
  </dataValidations>
  <hyperlinks>
    <hyperlink ref="A3" r:id="rId1" display="微信/电话：13249827686  邮箱: startedu86@163.com" tooltip="mailto:muqingenglish@163.com"/>
  </hyperlinks>
  <pageMargins left="0.75" right="0.75" top="1" bottom="1" header="0.509027777777778" footer="0.509027777777778"/>
  <pageSetup paperSize="9" scale="77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zoomScale="89" zoomScaleNormal="89" topLeftCell="A2" workbookViewId="0">
      <selection activeCell="F16" sqref="F16"/>
    </sheetView>
  </sheetViews>
  <sheetFormatPr defaultColWidth="8.925" defaultRowHeight="15.6"/>
  <cols>
    <col min="1" max="1" width="30.7083333333333" customWidth="1"/>
    <col min="2" max="2" width="12.5083333333333" style="1" customWidth="1"/>
    <col min="3" max="3" width="52.9166666666667" customWidth="1"/>
    <col min="4" max="4" width="20.2416666666667" customWidth="1"/>
    <col min="5" max="5" width="6.65833333333333" customWidth="1"/>
    <col min="6" max="6" width="23.575" customWidth="1"/>
    <col min="7" max="7" width="19.8333333333333" customWidth="1"/>
    <col min="8" max="8" width="29.6583333333333" customWidth="1"/>
  </cols>
  <sheetData>
    <row r="1" ht="33" spans="1:12">
      <c r="A1" s="2" t="s">
        <v>80</v>
      </c>
      <c r="B1" s="3"/>
      <c r="C1" s="3"/>
      <c r="D1" s="4"/>
      <c r="E1" s="5"/>
      <c r="F1" s="2" t="s">
        <v>81</v>
      </c>
      <c r="G1" s="3"/>
      <c r="H1" s="6"/>
      <c r="J1" s="45" t="s">
        <v>82</v>
      </c>
      <c r="K1" s="46"/>
      <c r="L1" s="47"/>
    </row>
    <row r="2" ht="20" customHeight="1" spans="1:10">
      <c r="A2" s="7" t="s">
        <v>15</v>
      </c>
      <c r="B2" s="8" t="s">
        <v>83</v>
      </c>
      <c r="C2" s="9"/>
      <c r="D2" s="10"/>
      <c r="E2" s="5"/>
      <c r="F2" s="7" t="s">
        <v>15</v>
      </c>
      <c r="G2" s="11" t="s">
        <v>83</v>
      </c>
      <c r="H2" s="12"/>
      <c r="J2" t="s">
        <v>70</v>
      </c>
    </row>
    <row r="3" ht="31" customHeight="1" spans="1:10">
      <c r="A3" s="13" t="s">
        <v>84</v>
      </c>
      <c r="B3" s="14" t="s">
        <v>85</v>
      </c>
      <c r="C3" s="13" t="s">
        <v>58</v>
      </c>
      <c r="D3" s="13" t="s">
        <v>86</v>
      </c>
      <c r="E3" s="15" t="s">
        <v>87</v>
      </c>
      <c r="F3" s="13" t="s">
        <v>88</v>
      </c>
      <c r="G3" s="14" t="s">
        <v>89</v>
      </c>
      <c r="H3" s="13" t="s">
        <v>86</v>
      </c>
      <c r="J3" t="s">
        <v>4</v>
      </c>
    </row>
    <row r="4" ht="25" customHeight="1" spans="1:10">
      <c r="A4" s="16" t="s">
        <v>60</v>
      </c>
      <c r="B4" s="17">
        <v>930</v>
      </c>
      <c r="C4" s="18" t="s">
        <v>90</v>
      </c>
      <c r="D4" s="19" t="s">
        <v>91</v>
      </c>
      <c r="E4" s="5">
        <v>7.33</v>
      </c>
      <c r="F4" s="16" t="s">
        <v>92</v>
      </c>
      <c r="G4" s="20">
        <v>1250</v>
      </c>
      <c r="H4" s="16"/>
      <c r="J4" t="s">
        <v>93</v>
      </c>
    </row>
    <row r="5" ht="25" customHeight="1" spans="1:8">
      <c r="A5" s="16" t="s">
        <v>94</v>
      </c>
      <c r="B5" s="17">
        <v>1020</v>
      </c>
      <c r="C5" s="18" t="s">
        <v>95</v>
      </c>
      <c r="D5" s="19"/>
      <c r="E5" s="5"/>
      <c r="F5" s="16" t="s">
        <v>96</v>
      </c>
      <c r="G5" s="20">
        <v>1150</v>
      </c>
      <c r="H5" s="21" t="s">
        <v>97</v>
      </c>
    </row>
    <row r="6" ht="25" customHeight="1" spans="1:8">
      <c r="A6" s="16" t="s">
        <v>98</v>
      </c>
      <c r="B6" s="17">
        <v>850</v>
      </c>
      <c r="C6" s="18" t="s">
        <v>99</v>
      </c>
      <c r="D6" s="19"/>
      <c r="E6" s="5"/>
      <c r="F6" s="16" t="s">
        <v>72</v>
      </c>
      <c r="G6" s="20">
        <v>970</v>
      </c>
      <c r="H6" s="20"/>
    </row>
    <row r="7" ht="25" customHeight="1" spans="1:8">
      <c r="A7" s="16" t="s">
        <v>100</v>
      </c>
      <c r="B7" s="17">
        <v>980</v>
      </c>
      <c r="C7" s="18" t="s">
        <v>101</v>
      </c>
      <c r="D7" s="19"/>
      <c r="E7" s="5"/>
      <c r="F7" s="16" t="s">
        <v>102</v>
      </c>
      <c r="G7" s="20">
        <v>870</v>
      </c>
      <c r="H7" s="16"/>
    </row>
    <row r="8" ht="25" customHeight="1" spans="1:8">
      <c r="A8" s="16" t="s">
        <v>103</v>
      </c>
      <c r="B8" s="17">
        <v>1220</v>
      </c>
      <c r="C8" s="18" t="s">
        <v>104</v>
      </c>
      <c r="D8" s="19"/>
      <c r="E8" s="5"/>
      <c r="F8" s="16" t="s">
        <v>61</v>
      </c>
      <c r="G8" s="20">
        <v>840</v>
      </c>
      <c r="H8" s="22"/>
    </row>
    <row r="9" ht="25" customHeight="1" spans="1:8">
      <c r="A9" s="16" t="s">
        <v>105</v>
      </c>
      <c r="B9" s="17">
        <v>1080</v>
      </c>
      <c r="C9" s="18" t="s">
        <v>106</v>
      </c>
      <c r="D9" s="19"/>
      <c r="E9" s="5"/>
      <c r="F9" s="16" t="s">
        <v>74</v>
      </c>
      <c r="G9" s="20">
        <v>700</v>
      </c>
      <c r="H9" s="23" t="s">
        <v>107</v>
      </c>
    </row>
    <row r="10" ht="25" customHeight="1" spans="1:8">
      <c r="A10" s="16" t="s">
        <v>108</v>
      </c>
      <c r="B10" s="17">
        <v>1080</v>
      </c>
      <c r="C10" s="18" t="s">
        <v>109</v>
      </c>
      <c r="D10" s="19"/>
      <c r="E10" s="5"/>
      <c r="F10" s="16" t="s">
        <v>75</v>
      </c>
      <c r="G10" s="20">
        <v>570</v>
      </c>
      <c r="H10" s="24"/>
    </row>
    <row r="11" ht="25" customHeight="1" spans="1:16">
      <c r="A11" s="16" t="s">
        <v>110</v>
      </c>
      <c r="B11" s="17">
        <v>980</v>
      </c>
      <c r="C11" s="25" t="s">
        <v>111</v>
      </c>
      <c r="D11" s="26"/>
      <c r="E11" s="5"/>
      <c r="F11" s="16" t="s">
        <v>112</v>
      </c>
      <c r="G11" s="27">
        <v>780</v>
      </c>
      <c r="H11" s="16" t="s">
        <v>113</v>
      </c>
      <c r="J11" s="43"/>
      <c r="K11" s="43"/>
      <c r="L11" s="43"/>
      <c r="M11" s="43"/>
      <c r="N11" s="43"/>
      <c r="O11" s="43"/>
      <c r="P11" s="43"/>
    </row>
    <row r="12" ht="25" customHeight="1" spans="1:16">
      <c r="A12" s="28" t="s">
        <v>114</v>
      </c>
      <c r="B12" s="17">
        <v>1500</v>
      </c>
      <c r="C12" s="29" t="s">
        <v>115</v>
      </c>
      <c r="D12" s="30"/>
      <c r="E12" s="5"/>
      <c r="F12" s="16" t="s">
        <v>116</v>
      </c>
      <c r="G12" s="20">
        <v>1250</v>
      </c>
      <c r="H12" s="16" t="s">
        <v>117</v>
      </c>
      <c r="J12" s="43"/>
      <c r="K12" s="43"/>
      <c r="L12" s="43"/>
      <c r="M12" s="43"/>
      <c r="N12" s="43"/>
      <c r="O12" s="43"/>
      <c r="P12" s="43"/>
    </row>
    <row r="13" ht="25" customHeight="1" spans="1:16">
      <c r="A13" s="28" t="s">
        <v>118</v>
      </c>
      <c r="B13" s="17">
        <v>750</v>
      </c>
      <c r="C13" s="29" t="s">
        <v>119</v>
      </c>
      <c r="D13" s="30"/>
      <c r="E13" s="5"/>
      <c r="F13" s="16" t="s">
        <v>120</v>
      </c>
      <c r="G13" s="20">
        <v>1150</v>
      </c>
      <c r="H13" s="16"/>
      <c r="J13" s="43"/>
      <c r="K13" s="43"/>
      <c r="L13" s="43"/>
      <c r="M13" s="43"/>
      <c r="N13" s="43"/>
      <c r="O13" s="43"/>
      <c r="P13" s="43"/>
    </row>
    <row r="14" ht="25" customHeight="1" spans="1:16">
      <c r="A14" s="31" t="s">
        <v>121</v>
      </c>
      <c r="B14" s="14" t="s">
        <v>85</v>
      </c>
      <c r="C14" s="13" t="s">
        <v>58</v>
      </c>
      <c r="D14" s="32" t="s">
        <v>86</v>
      </c>
      <c r="E14" s="5"/>
      <c r="F14" s="16" t="s">
        <v>122</v>
      </c>
      <c r="G14" s="20">
        <v>870</v>
      </c>
      <c r="H14" s="16"/>
      <c r="J14" s="43"/>
      <c r="K14" s="43"/>
      <c r="L14" s="43"/>
      <c r="M14" s="43"/>
      <c r="N14" s="43"/>
      <c r="O14" s="43"/>
      <c r="P14" s="43"/>
    </row>
    <row r="15" ht="25" customHeight="1" spans="1:16">
      <c r="A15" s="16" t="s">
        <v>123</v>
      </c>
      <c r="B15" s="17">
        <v>1050</v>
      </c>
      <c r="C15" s="25" t="s">
        <v>111</v>
      </c>
      <c r="D15" s="33"/>
      <c r="E15" s="5"/>
      <c r="F15" s="16" t="s">
        <v>124</v>
      </c>
      <c r="G15" s="20">
        <v>680</v>
      </c>
      <c r="H15" s="16"/>
      <c r="J15" s="48"/>
      <c r="K15" s="48"/>
      <c r="L15" s="48"/>
      <c r="M15" s="48"/>
      <c r="N15" s="48"/>
      <c r="O15" s="48"/>
      <c r="P15" s="48"/>
    </row>
    <row r="16" ht="25" customHeight="1" spans="1:16">
      <c r="A16" s="16" t="s">
        <v>10</v>
      </c>
      <c r="B16" s="17">
        <v>1100</v>
      </c>
      <c r="C16" s="25" t="s">
        <v>125</v>
      </c>
      <c r="D16" s="33"/>
      <c r="E16" s="5"/>
      <c r="F16" s="16" t="s">
        <v>8</v>
      </c>
      <c r="G16" s="20">
        <v>630</v>
      </c>
      <c r="H16" s="16" t="s">
        <v>126</v>
      </c>
      <c r="J16" s="48"/>
      <c r="K16" s="48"/>
      <c r="L16" s="48"/>
      <c r="M16" s="48"/>
      <c r="N16" s="48"/>
      <c r="O16" s="48"/>
      <c r="P16" s="48"/>
    </row>
    <row r="17" ht="25" customHeight="1" spans="1:16">
      <c r="A17" s="16" t="s">
        <v>127</v>
      </c>
      <c r="B17" s="17">
        <f>2900/2</f>
        <v>1450</v>
      </c>
      <c r="C17" s="25" t="s">
        <v>128</v>
      </c>
      <c r="D17" s="33"/>
      <c r="E17" s="5"/>
      <c r="J17" s="48"/>
      <c r="K17" s="48"/>
      <c r="L17" s="48"/>
      <c r="M17" s="48"/>
      <c r="N17" s="48"/>
      <c r="O17" s="48"/>
      <c r="P17" s="48"/>
    </row>
    <row r="18" ht="25" customHeight="1" spans="1:16">
      <c r="A18" s="16" t="s">
        <v>129</v>
      </c>
      <c r="B18" s="17">
        <f>4050/3</f>
        <v>1350</v>
      </c>
      <c r="C18" s="25" t="s">
        <v>128</v>
      </c>
      <c r="D18" s="33"/>
      <c r="E18" s="5"/>
      <c r="J18" s="48"/>
      <c r="K18" s="48"/>
      <c r="L18" s="48"/>
      <c r="M18" s="48"/>
      <c r="N18" s="48"/>
      <c r="O18" s="48"/>
      <c r="P18" s="48"/>
    </row>
    <row r="19" ht="24" customHeight="1" spans="1:16">
      <c r="A19" s="5"/>
      <c r="B19" s="34"/>
      <c r="C19" s="5"/>
      <c r="D19" s="5"/>
      <c r="E19" s="5"/>
      <c r="F19" s="35" t="s">
        <v>130</v>
      </c>
      <c r="G19" s="5"/>
      <c r="H19" s="5"/>
      <c r="J19" s="48"/>
      <c r="K19" s="48"/>
      <c r="L19" s="48"/>
      <c r="M19" s="48"/>
      <c r="N19" s="48"/>
      <c r="O19" s="48"/>
      <c r="P19" s="48"/>
    </row>
    <row r="20" ht="26" customHeight="1" spans="1:16">
      <c r="A20" s="36" t="s">
        <v>131</v>
      </c>
      <c r="B20" s="36"/>
      <c r="C20" s="36"/>
      <c r="D20" s="37"/>
      <c r="E20" s="5"/>
      <c r="F20" s="5"/>
      <c r="G20" s="5"/>
      <c r="H20" s="5"/>
      <c r="J20" s="48"/>
      <c r="K20" s="48"/>
      <c r="L20" s="48"/>
      <c r="M20" s="48"/>
      <c r="N20" s="48"/>
      <c r="O20" s="48"/>
      <c r="P20" s="48"/>
    </row>
    <row r="21" ht="26" customHeight="1" spans="1:16">
      <c r="A21" s="36" t="s">
        <v>132</v>
      </c>
      <c r="B21" s="36"/>
      <c r="C21" s="36"/>
      <c r="D21" s="37"/>
      <c r="E21" s="5"/>
      <c r="F21" s="5"/>
      <c r="G21" s="5"/>
      <c r="H21" s="5"/>
      <c r="J21" s="48"/>
      <c r="K21" s="48"/>
      <c r="L21" s="48"/>
      <c r="M21" s="48"/>
      <c r="N21" s="48"/>
      <c r="O21" s="48"/>
      <c r="P21" s="48"/>
    </row>
    <row r="22" ht="17.4" spans="1:16">
      <c r="A22" s="38" t="s">
        <v>133</v>
      </c>
      <c r="B22" s="34"/>
      <c r="C22" s="5"/>
      <c r="D22" s="5"/>
      <c r="E22" s="5"/>
      <c r="F22" s="5"/>
      <c r="G22" s="5"/>
      <c r="H22" s="5"/>
      <c r="J22" s="48"/>
      <c r="K22" s="48"/>
      <c r="L22" s="48"/>
      <c r="M22" s="48"/>
      <c r="N22" s="48"/>
      <c r="O22" s="48"/>
      <c r="P22" s="48"/>
    </row>
    <row r="23" ht="17.4" spans="1:16">
      <c r="A23" s="38" t="s">
        <v>134</v>
      </c>
      <c r="B23" s="34"/>
      <c r="C23" s="5"/>
      <c r="D23" s="5"/>
      <c r="E23" s="5"/>
      <c r="F23" s="5"/>
      <c r="G23" s="5"/>
      <c r="H23" s="5"/>
      <c r="J23" s="48"/>
      <c r="K23" s="48"/>
      <c r="L23" s="48"/>
      <c r="M23" s="48"/>
      <c r="N23" s="48"/>
      <c r="O23" s="48"/>
      <c r="P23" s="48"/>
    </row>
    <row r="24" ht="198" customHeight="1" spans="1:16">
      <c r="A24" s="39" t="s">
        <v>135</v>
      </c>
      <c r="B24" s="39"/>
      <c r="C24" s="39"/>
      <c r="D24" s="40"/>
      <c r="E24" s="41"/>
      <c r="F24" s="41"/>
      <c r="G24" s="5"/>
      <c r="H24" s="5"/>
      <c r="J24" s="48"/>
      <c r="K24" s="48"/>
      <c r="L24" s="48"/>
      <c r="M24" s="48"/>
      <c r="N24" s="48"/>
      <c r="O24" s="48"/>
      <c r="P24" s="48"/>
    </row>
    <row r="25" ht="27" customHeight="1" spans="1:16">
      <c r="A25" s="42"/>
      <c r="J25" s="48"/>
      <c r="K25" s="48"/>
      <c r="L25" s="48"/>
      <c r="M25" s="48"/>
      <c r="N25" s="48"/>
      <c r="O25" s="48"/>
      <c r="P25" s="48"/>
    </row>
    <row r="26" ht="20" customHeight="1" spans="1:1">
      <c r="A26" s="42"/>
    </row>
    <row r="27" ht="20" customHeight="1" spans="1:1">
      <c r="A27" s="42"/>
    </row>
    <row r="28" ht="20" customHeight="1" spans="1:4">
      <c r="A28" s="42"/>
      <c r="D28" s="43"/>
    </row>
    <row r="29" ht="104.75" customHeight="1" spans="1:5">
      <c r="A29" s="42"/>
      <c r="E29" s="44"/>
    </row>
    <row r="30" spans="1:1">
      <c r="A30" s="42"/>
    </row>
    <row r="31" ht="93" customHeight="1" spans="1:4">
      <c r="A31" s="42"/>
      <c r="D31" s="43"/>
    </row>
    <row r="32" ht="85.25" customHeight="1"/>
    <row r="49" spans="3:3">
      <c r="C49" s="1"/>
    </row>
  </sheetData>
  <sheetProtection formatCells="0" insertHyperlinks="0" autoFilter="0"/>
  <mergeCells count="10">
    <mergeCell ref="A1:C1"/>
    <mergeCell ref="F1:H1"/>
    <mergeCell ref="G2:H2"/>
    <mergeCell ref="A20:C20"/>
    <mergeCell ref="A21:C21"/>
    <mergeCell ref="A24:C24"/>
    <mergeCell ref="D24:F24"/>
    <mergeCell ref="D4:D8"/>
    <mergeCell ref="H5:H6"/>
    <mergeCell ref="H9:H10"/>
  </mergeCells>
  <pageMargins left="0.75" right="0.75" top="1" bottom="1" header="0.509027777777778" footer="0.509027777777778"/>
  <headerFooter alignWithMargins="0" scaleWithDoc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Pines报价单</vt:lpstr>
      <vt:lpstr>2校区同时Pines报价单</vt:lpstr>
      <vt:lpstr>3种课程安排</vt:lpstr>
      <vt:lpstr>Pines价格明细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86185</dc:creator>
  <cp:lastModifiedBy>WPS_1674710603</cp:lastModifiedBy>
  <dcterms:created xsi:type="dcterms:W3CDTF">2022-10-23T01:49:00Z</dcterms:created>
  <dcterms:modified xsi:type="dcterms:W3CDTF">2025-09-04T08:21:30Z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F651757761E44499A9C97BEC03830CB7_13</vt:lpwstr>
  </property>
  <property fmtid="{D5CDD505-2E9C-101B-9397-08002B2CF9AE}" pid="4" name="KSOProductBuildVer">
    <vt:lpwstr>2052-12.1.0.22529</vt:lpwstr>
  </property>
</Properties>
</file>