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640" windowHeight="11480" tabRatio="887" firstSheet="1"/>
  </bookViews>
  <sheets>
    <sheet name="BECI宿务单课程报价单" sheetId="3" r:id="rId1"/>
    <sheet name="BECI宿务单课程寒暑假" sheetId="8" r:id="rId2"/>
    <sheet name="2种课程同时BECI报价单" sheetId="4" r:id="rId3"/>
    <sheet name="3种课程同时BECI报价单" sheetId="5" r:id="rId4"/>
    <sheet name="4种课程同时BECI报价单" sheetId="7" r:id="rId5"/>
    <sheet name="B'CEBU价格表" sheetId="2" r:id="rId6"/>
  </sheets>
  <definedNames>
    <definedName name="_xlnm.Print_Area" localSheetId="0">BECI宿务单课程报价单!$A$1:$E$39</definedName>
    <definedName name="_xlnm.Print_Area" localSheetId="2">'2种课程同时BECI报价单'!$A$1:$E$40</definedName>
    <definedName name="_xlnm.Print_Area" localSheetId="3">'3种课程同时BECI报价单'!$A$1:$E$40</definedName>
    <definedName name="_xlnm.Print_Area" localSheetId="4">'4种课程同时BECI报价单'!$A$1:$E$41</definedName>
    <definedName name="_xlnm.Print_Area" localSheetId="1">BECI宿务单课程寒暑假!$A$1:$E$36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<sst xmlns="http://schemas.openxmlformats.org/spreadsheetml/2006/main" count="375" uniqueCount="136">
  <si>
    <t xml:space="preserve">   菲律宾游学</t>
  </si>
  <si>
    <t>微信/电话：13249827686  邮箱: startedu86@163.com</t>
  </si>
  <si>
    <t xml:space="preserve"> </t>
  </si>
  <si>
    <t>学校：</t>
  </si>
  <si>
    <t>宿务BECI-CEBU</t>
  </si>
  <si>
    <t>报价日期：</t>
  </si>
  <si>
    <t>b'cebu 2025 下半年淡季折扣+记者活动</t>
  </si>
  <si>
    <t>上课周数：</t>
  </si>
  <si>
    <t>宿舍：</t>
  </si>
  <si>
    <t>3人间（上下铺）</t>
  </si>
  <si>
    <r>
      <rPr>
        <sz val="12"/>
        <rFont val="Times New Roman"/>
        <charset val="134"/>
      </rPr>
      <t>​</t>
    </r>
    <r>
      <rPr>
        <sz val="12"/>
        <rFont val="微软雅黑"/>
        <charset val="134"/>
      </rPr>
      <t>淡季折扣：8折</t>
    </r>
  </si>
  <si>
    <t>课程安排：</t>
  </si>
  <si>
    <t>Speed ESL</t>
  </si>
  <si>
    <t>期限：2025.Aug.31-2025.,Dec.24</t>
  </si>
  <si>
    <t>1、学费（包含注册费、课程费、住宿费、餐费）</t>
  </si>
  <si>
    <r>
      <rPr>
        <sz val="12"/>
        <rFont val="Times New Roman"/>
        <charset val="134"/>
      </rPr>
      <t>​</t>
    </r>
    <r>
      <rPr>
        <sz val="12"/>
        <rFont val="微软雅黑"/>
        <charset val="134"/>
      </rPr>
      <t>记者活动 1：每4周100＄折扣</t>
    </r>
  </si>
  <si>
    <t>学费</t>
  </si>
  <si>
    <t>项目</t>
  </si>
  <si>
    <t>价格/美元</t>
  </si>
  <si>
    <r>
      <rPr>
        <sz val="12"/>
        <rFont val="Times New Roman"/>
        <charset val="134"/>
      </rPr>
      <t>​</t>
    </r>
    <r>
      <rPr>
        <sz val="12"/>
        <rFont val="微软雅黑"/>
        <charset val="134"/>
      </rPr>
      <t xml:space="preserve">                 2：每天额外增加一节1对1课程</t>
    </r>
  </si>
  <si>
    <t>注册费</t>
  </si>
  <si>
    <t>期限：2025. Aug.31-2025.Dec.14</t>
  </si>
  <si>
    <r>
      <rPr>
        <sz val="12"/>
        <rFont val="Times New Roman"/>
        <charset val="134"/>
      </rPr>
      <t>​</t>
    </r>
    <r>
      <rPr>
        <sz val="12"/>
        <rFont val="微软雅黑"/>
        <charset val="134"/>
      </rPr>
      <t>淡季折扣+记者活动可叠加</t>
    </r>
  </si>
  <si>
    <r>
      <rPr>
        <sz val="12"/>
        <color rgb="FF000000"/>
        <rFont val="微软雅黑"/>
        <charset val="134"/>
      </rPr>
      <t xml:space="preserve">未成年单独在校管理费
</t>
    </r>
    <r>
      <rPr>
        <sz val="9"/>
        <color rgb="FFFF0000"/>
        <rFont val="微软雅黑"/>
        <charset val="134"/>
      </rPr>
      <t>（15岁以下）100美元/周，（15-18岁）50美元/周</t>
    </r>
  </si>
  <si>
    <r>
      <rPr>
        <sz val="12"/>
        <rFont val="Times New Roman"/>
        <charset val="134"/>
      </rPr>
      <t>​</t>
    </r>
  </si>
  <si>
    <t>总计</t>
  </si>
  <si>
    <r>
      <rPr>
        <sz val="12"/>
        <rFont val="微软雅黑"/>
        <charset val="134"/>
      </rPr>
      <t xml:space="preserve">淡季优惠
</t>
    </r>
    <r>
      <rPr>
        <sz val="10"/>
        <rFont val="微软雅黑"/>
        <charset val="134"/>
      </rPr>
      <t>（2025.2.9-6.22 &amp; 8.31-12.28入学）</t>
    </r>
  </si>
  <si>
    <t>成年学生：课程+住宿 20% 折扣不论房型
亲子家庭：课程+住宿 10% 折扣不论房型</t>
  </si>
  <si>
    <t>长周期优惠（8周以上）</t>
  </si>
  <si>
    <t>长期优惠：8-11周优惠50美金，12-15周100美，16-19周200美(每增加4周优惠100美)</t>
  </si>
  <si>
    <r>
      <rPr>
        <sz val="12"/>
        <color rgb="FF000000"/>
        <rFont val="微软雅黑"/>
        <charset val="134"/>
      </rPr>
      <t xml:space="preserve">记者活动优惠100美/4周，周一到周五每天额外赠送1节1对1课程
</t>
    </r>
    <r>
      <rPr>
        <sz val="8"/>
        <color rgb="FFFF0000"/>
        <rFont val="微软雅黑"/>
        <charset val="134"/>
      </rPr>
      <t>（在小红书每周发视频+文章，发帖前需要给学校经理确认并转发给顾问老师，未完成需按原价格缴纳，不退差价）</t>
    </r>
  </si>
  <si>
    <t>思达折扣</t>
  </si>
  <si>
    <t>折后价</t>
  </si>
  <si>
    <t>1044美元（约人民币7474元）</t>
  </si>
  <si>
    <r>
      <rPr>
        <sz val="12"/>
        <rFont val="微软雅黑"/>
        <charset val="134"/>
      </rPr>
      <t>2、学杂费（即到学校后会产生的当地费用，</t>
    </r>
    <r>
      <rPr>
        <sz val="12"/>
        <color rgb="FFFF0000"/>
        <rFont val="微软雅黑"/>
        <charset val="134"/>
      </rPr>
      <t>和思达游学无关，以到校为准仅供参考</t>
    </r>
    <r>
      <rPr>
        <sz val="12"/>
        <rFont val="微软雅黑"/>
        <charset val="134"/>
      </rPr>
      <t>）</t>
    </r>
  </si>
  <si>
    <t xml:space="preserve">学杂费
</t>
  </si>
  <si>
    <t>1、SSP特殊学习许可证</t>
  </si>
  <si>
    <r>
      <rPr>
        <sz val="12"/>
        <rFont val="微软雅黑"/>
        <charset val="134"/>
      </rPr>
      <t>P7800</t>
    </r>
    <r>
      <rPr>
        <sz val="9"/>
        <rFont val="微软雅黑"/>
        <charset val="134"/>
      </rPr>
      <t>（同学习时间一样，续费需要重新办理）</t>
    </r>
  </si>
  <si>
    <r>
      <rPr>
        <sz val="12"/>
        <rFont val="微软雅黑"/>
        <charset val="134"/>
      </rPr>
      <t>2、ACR I CARD</t>
    </r>
    <r>
      <rPr>
        <sz val="9"/>
        <rFont val="微软雅黑"/>
        <charset val="134"/>
      </rPr>
      <t>(1年有效期)</t>
    </r>
  </si>
  <si>
    <r>
      <rPr>
        <sz val="12"/>
        <rFont val="微软雅黑"/>
        <charset val="134"/>
      </rPr>
      <t>P4000</t>
    </r>
    <r>
      <rPr>
        <sz val="9"/>
        <rFont val="微软雅黑"/>
        <charset val="134"/>
      </rPr>
      <t>（续费需要办理）</t>
    </r>
  </si>
  <si>
    <r>
      <rPr>
        <sz val="12"/>
        <rFont val="微软雅黑"/>
        <charset val="134"/>
      </rPr>
      <t>3、SSP E CARD</t>
    </r>
    <r>
      <rPr>
        <sz val="9"/>
        <rFont val="微软雅黑"/>
        <charset val="134"/>
      </rPr>
      <t>(1年有效期)</t>
    </r>
  </si>
  <si>
    <t>P4500</t>
  </si>
  <si>
    <t>4、续签费用</t>
  </si>
  <si>
    <t>第一次续签P5130</t>
  </si>
  <si>
    <t>第二次续签P6400</t>
  </si>
  <si>
    <t>第三次续签P4430</t>
  </si>
  <si>
    <t>5、住宿费押金</t>
  </si>
  <si>
    <t>3000比索/4周</t>
  </si>
  <si>
    <t>6、水电费</t>
  </si>
  <si>
    <r>
      <rPr>
        <sz val="12"/>
        <rFont val="微软雅黑"/>
        <charset val="134"/>
      </rPr>
      <t>4000比索/4周</t>
    </r>
    <r>
      <rPr>
        <sz val="10"/>
        <rFont val="微软雅黑"/>
        <charset val="134"/>
      </rPr>
      <t>（每周超过15kw，20比索/kw）</t>
    </r>
  </si>
  <si>
    <t>7、书本费</t>
  </si>
  <si>
    <t>根据实际情况</t>
  </si>
  <si>
    <t>8、洗衣费</t>
  </si>
  <si>
    <t>P200/8kg/次</t>
  </si>
  <si>
    <t>9、宿务马克坦机场接机费</t>
  </si>
  <si>
    <t>周末接机：1000比索/工作日：1500比索</t>
  </si>
  <si>
    <t>10、学生证</t>
  </si>
  <si>
    <t>200比索</t>
  </si>
  <si>
    <t>11、管理费</t>
  </si>
  <si>
    <t>2000比索/4周</t>
  </si>
  <si>
    <t>12、未成年单独在校管理费</t>
  </si>
  <si>
    <t>小学，初中（15岁以下）是每周100美元
高中生（15-18岁）是每周50美元</t>
  </si>
  <si>
    <t>总计（直接交给学校的）</t>
  </si>
  <si>
    <r>
      <rPr>
        <sz val="12"/>
        <color rgb="FF000000"/>
        <rFont val="微软雅黑"/>
        <charset val="134"/>
      </rPr>
      <t>约2700元人民币以上/4周/人</t>
    </r>
    <r>
      <rPr>
        <sz val="9"/>
        <color rgb="FF000000"/>
        <rFont val="微软雅黑"/>
        <charset val="134"/>
      </rPr>
      <t>（不含押金）</t>
    </r>
  </si>
  <si>
    <t>说明：
1、学费部分需到校前2周交齐，可以交由思达游学代收或直接自行转美元给学校，我们的报价单上就是最终价格，支付时按照支付宝实时汇率，把美元换算为人民币结算。
2、学杂费是到菲律宾当地需要交纳的费用，是学校直接收取的，我们的报价只作为参考，具体以学校收取的为准。</t>
  </si>
  <si>
    <t>单人间内景（校内花园）</t>
  </si>
  <si>
    <t>IELTS</t>
  </si>
  <si>
    <t>9.30单人间外景价格上调50美</t>
  </si>
  <si>
    <t>未成年单独在校管理费</t>
  </si>
  <si>
    <t>1395美元（约人民币10006元）</t>
  </si>
  <si>
    <t>微信/电话：15367659331  邮箱:startedu86@163.com</t>
  </si>
  <si>
    <t>上课周数</t>
  </si>
  <si>
    <t>课程名称</t>
  </si>
  <si>
    <t>课程安排</t>
  </si>
  <si>
    <t>宿舍</t>
  </si>
  <si>
    <t>B'SPARTA</t>
  </si>
  <si>
    <t>IELTS Sparta</t>
  </si>
  <si>
    <t>IELTS GUARANTEE</t>
  </si>
  <si>
    <t>淡季优惠
（2025.2.9-6.22 &amp; 8.31-12.28入学）</t>
  </si>
  <si>
    <r>
      <rPr>
        <sz val="12"/>
        <color rgb="FF000000"/>
        <rFont val="微软雅黑"/>
        <charset val="134"/>
      </rPr>
      <t xml:space="preserve">长期优惠
</t>
    </r>
    <r>
      <rPr>
        <sz val="10"/>
        <color rgb="FF000000"/>
        <rFont val="微软雅黑"/>
        <charset val="134"/>
      </rPr>
      <t>（8周以上）</t>
    </r>
  </si>
  <si>
    <t>淡季优惠计算方式参考：</t>
  </si>
  <si>
    <r>
      <rPr>
        <sz val="12"/>
        <color rgb="FF000000"/>
        <rFont val="微软雅黑"/>
        <charset val="134"/>
      </rPr>
      <t xml:space="preserve">记者活动优惠100美/4周，周一到周五每天额外赠送1节1对1课程
</t>
    </r>
    <r>
      <rPr>
        <sz val="8"/>
        <color rgb="FFFF0000"/>
        <rFont val="微软雅黑"/>
        <charset val="134"/>
      </rPr>
      <t>（在小红书每周发视频+文章，发帖前需要给学校经理确认并转发给顾问老师，未完成需按原价格缴纳）</t>
    </r>
  </si>
  <si>
    <t>先减长期优惠，记者活动，剩下的金额再叠加淡季优惠</t>
  </si>
  <si>
    <t>思达优惠</t>
  </si>
  <si>
    <r>
      <rPr>
        <b/>
        <sz val="11"/>
        <color rgb="FF000000"/>
        <rFont val="Microsoft YaHei Bold"/>
        <charset val="134"/>
      </rPr>
      <t>6840</t>
    </r>
    <r>
      <rPr>
        <b/>
        <sz val="11"/>
        <color rgb="FF000000"/>
        <rFont val="微软雅黑"/>
        <charset val="134"/>
      </rPr>
      <t>美元（约人民币</t>
    </r>
    <r>
      <rPr>
        <b/>
        <sz val="11"/>
        <color rgb="FF000000"/>
        <rFont val="Microsoft YaHei Bold"/>
        <charset val="134"/>
      </rPr>
      <t>48956</t>
    </r>
    <r>
      <rPr>
        <b/>
        <sz val="11"/>
        <color rgb="FF000000"/>
        <rFont val="微软雅黑"/>
        <charset val="134"/>
      </rPr>
      <t>元）</t>
    </r>
  </si>
  <si>
    <t>以SPEED ESL 课程 三人间4周 为例：850+700=1550-100记者=1450*0.8淡季=1160*0.9代理=1044美金</t>
  </si>
  <si>
    <t>以SPEED ESL 课程 三人间8周 为例：1700+1400=3100-50长期-200记者=2850*0.8淡季=2280*0.9代理=2052美金</t>
  </si>
  <si>
    <t>微信/电话：13249827686  邮箱:startedu86@163.com</t>
  </si>
  <si>
    <t>Junior ESL</t>
  </si>
  <si>
    <t>Lite ESL2</t>
  </si>
  <si>
    <t>免注册费</t>
  </si>
  <si>
    <t>其他优惠</t>
  </si>
  <si>
    <t>4365美元（约31432元人民币）</t>
  </si>
  <si>
    <t>幼儿园</t>
  </si>
  <si>
    <t>优惠</t>
  </si>
  <si>
    <t>4410美元（约31628元人民币）</t>
  </si>
  <si>
    <t>BECI - B'CEBU 2025年课程费</t>
  </si>
  <si>
    <t>B'CEBU住宿费</t>
  </si>
  <si>
    <t>100美元</t>
  </si>
  <si>
    <t>课程价格
4周/美元</t>
  </si>
  <si>
    <t>备注</t>
  </si>
  <si>
    <t>房间类型</t>
  </si>
  <si>
    <t>房间价格
4周/美元</t>
  </si>
  <si>
    <t>4节1:1课程+2节小组课程+2节晚课 (选修)</t>
  </si>
  <si>
    <t>初级到高级的学生</t>
  </si>
  <si>
    <t>单人间外景（马克坦新城）</t>
  </si>
  <si>
    <t>Intensive ESL</t>
  </si>
  <si>
    <t>6节1:1 课程+2节晚课 (选修)</t>
  </si>
  <si>
    <t>基础到高级的学生，希望有更多的1:1课程的人</t>
  </si>
  <si>
    <t>4节1:1课程+2节团体课+1节必修课+2节模拟考试</t>
  </si>
  <si>
    <t>对雅思考试系统不熟悉，打算深析雅思考试的学生</t>
  </si>
  <si>
    <t>双人间</t>
  </si>
  <si>
    <t>4节1:1课程+2节团体课+3节必修课+2节模拟考试</t>
  </si>
  <si>
    <t>双人间+客厅</t>
  </si>
  <si>
    <t>12周起报</t>
  </si>
  <si>
    <t>四人间</t>
  </si>
  <si>
    <t>上下铺</t>
  </si>
  <si>
    <t>只对冬令营和夏令营团体开放</t>
  </si>
  <si>
    <t>5节1:1课程+2节小组课程+3节强制晚课+2节强制自习</t>
  </si>
  <si>
    <t>斯巴达模式，强制参加</t>
  </si>
  <si>
    <t>2+1宿舍（上下铺）</t>
  </si>
  <si>
    <t>只限女生</t>
  </si>
  <si>
    <t>商务英语</t>
  </si>
  <si>
    <t>4节1:1课程+2节小组课程+2节必修课</t>
  </si>
  <si>
    <t>6节1:1 课程</t>
  </si>
  <si>
    <t>青少年学生(17岁以下)</t>
  </si>
  <si>
    <t>1周按4周40%，2周按4周60%价格计算，3周按4周的80%价格计算，亲子预付定金500美金/人</t>
  </si>
  <si>
    <t>Lite ESL4</t>
  </si>
  <si>
    <t>4节1: 1课程</t>
  </si>
  <si>
    <t>喜欢慢节奏学习方式的学生</t>
  </si>
  <si>
    <t>2节1: 1课程</t>
  </si>
  <si>
    <t>只适用于40岁以上的学生</t>
  </si>
  <si>
    <t>8:30AM～12:20PM/1:30PM～5:00PM</t>
  </si>
  <si>
    <t>3～6岁</t>
  </si>
  <si>
    <r>
      <rPr>
        <sz val="12"/>
        <color rgb="FFFF0000"/>
        <rFont val="微软雅黑"/>
        <charset val="134"/>
      </rPr>
      <t xml:space="preserve">可免注册费，看顾问愿意与否
长期优惠8周50美元，12周100美元，16周200美元，20周300美元，24周400美元以此类推
12月26日更新淡季优惠
时间：2025.2.9-2025.6.22 &amp; 2025.8.31-2025.12.28
b'cebu ：
成年学生：课程+住宿 20% 折扣，不论房型
亲子家庭：课程+住宿 10% 折扣，不论房型
长期优惠：8-11周优惠50美金，12-15周100美，16-19周200美(每增加4周优惠100美)
5月12日更新：
b'cebu 2025 下半年淡季折扣+记者活动
淡季折扣：8折
入学时间：2025.Aug.31-2025.Dec.24
记者活动 1：每4周100＄折扣
</t>
    </r>
    <r>
      <rPr>
        <sz val="12"/>
        <color rgb="FFFF0000"/>
        <rFont val="Times New Roman"/>
        <charset val="134"/>
      </rPr>
      <t>​</t>
    </r>
    <r>
      <rPr>
        <sz val="12"/>
        <color rgb="FFFF0000"/>
        <rFont val="微软雅黑"/>
        <charset val="134"/>
      </rPr>
      <t xml:space="preserve">        2：每天额外增加一节1V1课程
入学时间：2025.Aug.31-2025.Dec.14
淡季折扣+记者活动+中介折扣可叠加</t>
    </r>
  </si>
  <si>
    <t>淡季优惠计算方式参考：
先减长期优惠，记者活动，剩下的金额再叠加淡季优惠
以SPEED ESL 课程 三人间4周 为例：850+700=1550-100记者=1450*0.8淡季=1160*0.9代理=1044美金
以SPEED ESL 课程 三人间8周 为例：1700+1400=3100-50长期-200记者=2850*0.8淡季=2280*0.9代理=2052美金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</si>
</sst>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50">
    <font>
      <sz val="11"/>
      <color theme="1"/>
      <name val="宋体"/>
      <charset val="134"/>
      <scheme val="minor"/>
    </font>
    <font>
      <sz val="12"/>
      <color rgb="FFFF0000"/>
      <name val="微软雅黑"/>
      <charset val="134"/>
    </font>
    <font>
      <sz val="11"/>
      <color theme="1"/>
      <name val="微软雅黑"/>
      <charset val="134"/>
    </font>
    <font>
      <b/>
      <sz val="24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sz val="11"/>
      <color rgb="FFFF0000"/>
      <name val="微软雅黑"/>
      <charset val="134"/>
    </font>
    <font>
      <b/>
      <sz val="12"/>
      <color rgb="FFFF0000"/>
      <name val="微软雅黑"/>
      <charset val="134"/>
    </font>
    <font>
      <sz val="12"/>
      <name val="宋体"/>
      <charset val="134"/>
    </font>
    <font>
      <b/>
      <sz val="28"/>
      <color rgb="FF7030A0"/>
      <name val="微软雅黑"/>
      <charset val="134"/>
    </font>
    <font>
      <b/>
      <sz val="28"/>
      <color rgb="FF5C9BD5"/>
      <name val="微软雅黑"/>
      <charset val="134"/>
    </font>
    <font>
      <sz val="9"/>
      <color rgb="FF7F7F7F"/>
      <name val="微软雅黑"/>
      <charset val="134"/>
    </font>
    <font>
      <sz val="9"/>
      <color rgb="FF808080"/>
      <name val="微软雅黑"/>
      <charset val="134"/>
    </font>
    <font>
      <sz val="12"/>
      <name val="微软雅黑"/>
      <charset val="134"/>
    </font>
    <font>
      <sz val="10"/>
      <name val="微软雅黑"/>
      <charset val="134"/>
    </font>
    <font>
      <sz val="11"/>
      <color rgb="FF000000"/>
      <name val="微软雅黑"/>
      <charset val="134"/>
    </font>
    <font>
      <b/>
      <sz val="28"/>
      <color rgb="FF9DC2E5"/>
      <name val="微软雅黑"/>
      <charset val="134"/>
    </font>
    <font>
      <sz val="11"/>
      <name val="微软雅黑"/>
      <charset val="134"/>
    </font>
    <font>
      <b/>
      <sz val="12"/>
      <name val="微软雅黑"/>
      <charset val="134"/>
    </font>
    <font>
      <b/>
      <sz val="11"/>
      <color rgb="FF000000"/>
      <name val="Microsoft YaHei Bold"/>
      <charset val="134"/>
    </font>
    <font>
      <b/>
      <sz val="11"/>
      <name val="微软雅黑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sz val="8"/>
      <color rgb="FFFF0000"/>
      <name val="微软雅黑"/>
      <charset val="134"/>
    </font>
    <font>
      <sz val="10"/>
      <color rgb="FF000000"/>
      <name val="微软雅黑"/>
      <charset val="134"/>
    </font>
    <font>
      <sz val="9"/>
      <color rgb="FF000000"/>
      <name val="微软雅黑"/>
      <charset val="134"/>
    </font>
    <font>
      <b/>
      <sz val="11"/>
      <color rgb="FF000000"/>
      <name val="微软雅黑"/>
      <charset val="134"/>
    </font>
    <font>
      <sz val="12"/>
      <color rgb="FFFF0000"/>
      <name val="Times New Roma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E598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3E0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E8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2F75B6"/>
      </bottom>
      <diagonal/>
    </border>
    <border>
      <left/>
      <right/>
      <top style="thick">
        <color rgb="FF7030A0"/>
      </top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/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/>
      <bottom style="thick">
        <color rgb="FF7030A0"/>
      </bottom>
      <diagonal/>
    </border>
    <border>
      <left style="medium">
        <color rgb="FFD8D8D8"/>
      </left>
      <right/>
      <top/>
      <bottom style="medium">
        <color rgb="FFD8D8D8"/>
      </bottom>
      <diagonal/>
    </border>
    <border>
      <left/>
      <right style="medium">
        <color rgb="FFD8D8D8"/>
      </right>
      <top/>
      <bottom style="medium">
        <color rgb="FFD8D8D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7" borderId="18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8" borderId="21" applyNumberFormat="0" applyAlignment="0" applyProtection="0">
      <alignment vertical="center"/>
    </xf>
    <xf numFmtId="0" fontId="32" fillId="9" borderId="22" applyNumberFormat="0" applyAlignment="0" applyProtection="0">
      <alignment vertical="center"/>
    </xf>
    <xf numFmtId="0" fontId="33" fillId="9" borderId="21" applyNumberFormat="0" applyAlignment="0" applyProtection="0">
      <alignment vertical="center"/>
    </xf>
    <xf numFmtId="0" fontId="34" fillId="10" borderId="23" applyNumberFormat="0" applyAlignment="0" applyProtection="0">
      <alignment vertical="center"/>
    </xf>
    <xf numFmtId="0" fontId="35" fillId="0" borderId="24" applyNumberFormat="0" applyFill="0" applyAlignment="0" applyProtection="0">
      <alignment vertical="center"/>
    </xf>
    <xf numFmtId="0" fontId="36" fillId="0" borderId="25" applyNumberFormat="0" applyFill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0" fontId="12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9" fillId="0" borderId="6" xfId="0" applyFont="1" applyFill="1" applyBorder="1" applyAlignment="1">
      <alignment vertical="center"/>
    </xf>
    <xf numFmtId="0" fontId="13" fillId="0" borderId="7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vertical="center"/>
    </xf>
    <xf numFmtId="0" fontId="9" fillId="0" borderId="7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/>
    </xf>
    <xf numFmtId="0" fontId="14" fillId="5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right" vertical="center"/>
    </xf>
    <xf numFmtId="0" fontId="14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vertical="center"/>
    </xf>
    <xf numFmtId="0" fontId="15" fillId="4" borderId="0" xfId="0" applyFont="1" applyFill="1" applyAlignment="1">
      <alignment horizontal="right" vertical="center"/>
    </xf>
    <xf numFmtId="0" fontId="14" fillId="0" borderId="0" xfId="0" applyFont="1" applyFill="1" applyAlignment="1">
      <alignment horizontal="left" vertical="center"/>
    </xf>
    <xf numFmtId="0" fontId="14" fillId="0" borderId="8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left" vertical="center"/>
    </xf>
    <xf numFmtId="0" fontId="14" fillId="0" borderId="10" xfId="0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left" vertical="center"/>
    </xf>
    <xf numFmtId="0" fontId="14" fillId="0" borderId="13" xfId="0" applyFont="1" applyFill="1" applyBorder="1" applyAlignment="1">
      <alignment horizontal="center" vertical="center" wrapText="1"/>
    </xf>
    <xf numFmtId="0" fontId="17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9" fillId="0" borderId="6" xfId="0" applyFont="1" applyFill="1" applyBorder="1" applyAlignment="1">
      <alignment horizontal="center" vertical="center"/>
    </xf>
    <xf numFmtId="14" fontId="14" fillId="4" borderId="0" xfId="0" applyNumberFormat="1" applyFont="1" applyFill="1" applyAlignment="1">
      <alignment horizontal="left" vertical="center"/>
    </xf>
    <xf numFmtId="14" fontId="14" fillId="5" borderId="0" xfId="0" applyNumberFormat="1" applyFont="1" applyFill="1" applyAlignment="1">
      <alignment horizontal="left" vertical="center"/>
    </xf>
    <xf numFmtId="0" fontId="18" fillId="4" borderId="10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left" vertical="center" wrapText="1"/>
    </xf>
    <xf numFmtId="0" fontId="14" fillId="0" borderId="10" xfId="0" applyFont="1" applyFill="1" applyBorder="1" applyAlignment="1">
      <alignment horizontal="left" vertical="center" wrapText="1"/>
    </xf>
    <xf numFmtId="0" fontId="14" fillId="0" borderId="12" xfId="0" applyFont="1" applyFill="1" applyBorder="1" applyAlignment="1">
      <alignment horizontal="left" vertical="center" wrapText="1"/>
    </xf>
    <xf numFmtId="0" fontId="14" fillId="0" borderId="14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left" vertical="center"/>
    </xf>
    <xf numFmtId="0" fontId="15" fillId="0" borderId="0" xfId="0" applyFont="1" applyFill="1" applyAlignment="1">
      <alignment vertical="center" wrapText="1"/>
    </xf>
    <xf numFmtId="0" fontId="15" fillId="0" borderId="0" xfId="0" applyFont="1" applyFill="1" applyAlignment="1">
      <alignment vertical="center"/>
    </xf>
    <xf numFmtId="0" fontId="14" fillId="4" borderId="10" xfId="0" applyFont="1" applyFill="1" applyBorder="1" applyAlignment="1">
      <alignment horizontal="left" vertical="center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vertical="center"/>
    </xf>
    <xf numFmtId="0" fontId="13" fillId="0" borderId="0" xfId="0" applyFont="1" applyFill="1" applyAlignment="1">
      <alignment horizontal="left" vertical="center"/>
    </xf>
    <xf numFmtId="0" fontId="14" fillId="6" borderId="0" xfId="0" applyFont="1" applyFill="1" applyAlignment="1">
      <alignment vertical="center"/>
    </xf>
    <xf numFmtId="0" fontId="14" fillId="6" borderId="0" xfId="0" applyFont="1" applyFill="1" applyAlignment="1">
      <alignment horizontal="left" vertical="center"/>
    </xf>
    <xf numFmtId="0" fontId="15" fillId="6" borderId="0" xfId="0" applyFont="1" applyFill="1" applyAlignment="1">
      <alignment vertical="center"/>
    </xf>
    <xf numFmtId="0" fontId="14" fillId="0" borderId="16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176" fontId="14" fillId="6" borderId="0" xfId="0" applyNumberFormat="1" applyFont="1" applyFill="1" applyAlignment="1">
      <alignment horizontal="left" vertical="center"/>
    </xf>
    <xf numFmtId="0" fontId="14" fillId="0" borderId="17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22" fillId="0" borderId="0" xfId="0" applyFont="1" applyFill="1" applyAlignment="1">
      <alignment vertical="center"/>
    </xf>
    <xf numFmtId="0" fontId="6" fillId="0" borderId="9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9" fillId="0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14" fillId="0" borderId="0" xfId="0" applyFont="1" applyFill="1" applyAlignment="1">
      <alignment vertical="center"/>
    </xf>
    <xf numFmtId="0" fontId="14" fillId="0" borderId="0" xfId="0" applyFont="1" applyFill="1" applyAlignment="1">
      <alignment vertical="center" wrapText="1"/>
    </xf>
    <xf numFmtId="0" fontId="9" fillId="0" borderId="0" xfId="0" applyFont="1" applyFill="1" applyAlignment="1">
      <alignment horizontal="left" vertical="center"/>
    </xf>
    <xf numFmtId="0" fontId="19" fillId="4" borderId="10" xfId="0" applyFont="1" applyFill="1" applyBorder="1" applyAlignment="1">
      <alignment horizontal="center" vertical="center"/>
    </xf>
    <xf numFmtId="0" fontId="22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www.wps.cn/officeDocument/2021/sharedlinks" Target="sharedlinks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customXml" Target="../customXml/item3.xml"/><Relationship Id="rId12" Type="http://schemas.openxmlformats.org/officeDocument/2006/relationships/customXml" Target="../customXml/item2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uqingenglish@163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uqingenglish@163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muqingenglish@163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muqingenglish@163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muqingenglish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showGridLines="0" tabSelected="1" zoomScale="80" zoomScaleNormal="80" workbookViewId="0">
      <selection activeCell="F25" sqref="F25"/>
    </sheetView>
  </sheetViews>
  <sheetFormatPr defaultColWidth="9.64166666666667" defaultRowHeight="14.25"/>
  <cols>
    <col min="1" max="1" width="12.0333333333333" style="31" customWidth="1"/>
    <col min="2" max="2" width="19.6333333333333" style="31" customWidth="1"/>
    <col min="3" max="3" width="23.0333333333333" style="31" customWidth="1"/>
    <col min="4" max="4" width="18.4583333333333" style="31" customWidth="1"/>
    <col min="5" max="5" width="24" style="32" customWidth="1"/>
    <col min="6" max="6" width="10" style="31"/>
    <col min="7" max="7" width="97.8916666666667" style="31" customWidth="1"/>
    <col min="8" max="16384" width="10" style="31"/>
  </cols>
  <sheetData>
    <row r="1" ht="59.15" customHeight="1" spans="1:7">
      <c r="A1" s="33" t="s">
        <v>0</v>
      </c>
      <c r="B1" s="34"/>
      <c r="C1" s="34"/>
      <c r="D1" s="34"/>
      <c r="E1" s="34"/>
      <c r="F1" s="62"/>
      <c r="G1" s="62"/>
    </row>
    <row r="2" spans="1:7">
      <c r="A2" s="35"/>
      <c r="B2" s="35"/>
      <c r="C2" s="35"/>
      <c r="D2" s="35"/>
      <c r="E2" s="35"/>
      <c r="F2" s="63"/>
      <c r="G2" s="63"/>
    </row>
    <row r="3" spans="1:5">
      <c r="A3" s="36" t="s">
        <v>1</v>
      </c>
      <c r="B3" s="36"/>
      <c r="C3" s="36"/>
      <c r="D3" s="36"/>
      <c r="E3" s="36"/>
    </row>
    <row r="4" ht="8.15" customHeight="1" spans="1:5">
      <c r="A4" s="82"/>
      <c r="E4" s="90"/>
    </row>
    <row r="5" ht="9" customHeight="1" spans="1:4">
      <c r="A5" s="83" t="s">
        <v>2</v>
      </c>
      <c r="B5" s="39"/>
      <c r="C5" s="39"/>
      <c r="D5" s="39"/>
    </row>
    <row r="6" ht="22" customHeight="1" spans="1:7">
      <c r="A6" s="84" t="s">
        <v>3</v>
      </c>
      <c r="B6" s="84" t="s">
        <v>4</v>
      </c>
      <c r="C6" s="84"/>
      <c r="D6" s="84" t="s">
        <v>5</v>
      </c>
      <c r="E6" s="91">
        <v>45874</v>
      </c>
      <c r="G6" s="99" t="s">
        <v>6</v>
      </c>
    </row>
    <row r="7" ht="22" customHeight="1" spans="1:7">
      <c r="A7" s="84" t="s">
        <v>7</v>
      </c>
      <c r="B7" s="85">
        <v>4</v>
      </c>
      <c r="C7" s="84"/>
      <c r="D7" s="84" t="s">
        <v>8</v>
      </c>
      <c r="E7" s="84" t="s">
        <v>9</v>
      </c>
      <c r="G7" s="99" t="s">
        <v>10</v>
      </c>
    </row>
    <row r="8" ht="22" customHeight="1" spans="1:7">
      <c r="A8" s="84" t="s">
        <v>11</v>
      </c>
      <c r="B8" s="84" t="s">
        <v>12</v>
      </c>
      <c r="C8" s="86" t="str">
        <f>VLOOKUP(B8,'B''CEBU价格表'!A3:C14,3,FALSE)</f>
        <v>4节1:1课程+2节小组课程+2节晚课 (选修)</v>
      </c>
      <c r="D8" s="84"/>
      <c r="E8" s="84"/>
      <c r="G8" s="99" t="s">
        <v>13</v>
      </c>
    </row>
    <row r="9" ht="24" customHeight="1" spans="1:7">
      <c r="A9" s="49" t="s">
        <v>14</v>
      </c>
      <c r="B9" s="49"/>
      <c r="C9" s="49"/>
      <c r="D9" s="49"/>
      <c r="E9" s="49"/>
      <c r="G9" s="99" t="s">
        <v>15</v>
      </c>
    </row>
    <row r="10" ht="22" customHeight="1" spans="1:7">
      <c r="A10" s="50" t="s">
        <v>16</v>
      </c>
      <c r="B10" s="50" t="s">
        <v>17</v>
      </c>
      <c r="C10" s="50"/>
      <c r="D10" s="50" t="s">
        <v>18</v>
      </c>
      <c r="E10" s="50"/>
      <c r="G10" s="99" t="s">
        <v>19</v>
      </c>
    </row>
    <row r="11" ht="22" customHeight="1" spans="1:7">
      <c r="A11" s="50"/>
      <c r="B11" s="50" t="s">
        <v>20</v>
      </c>
      <c r="C11" s="50"/>
      <c r="D11" s="51">
        <v>0</v>
      </c>
      <c r="E11" s="52"/>
      <c r="G11" s="99" t="s">
        <v>21</v>
      </c>
    </row>
    <row r="12" ht="22" customHeight="1" spans="1:7">
      <c r="A12" s="50"/>
      <c r="B12" s="50" t="s">
        <v>12</v>
      </c>
      <c r="C12" s="50"/>
      <c r="D12" s="51">
        <f>VLOOKUP(B12,'B''CEBU价格表'!A3:B14,2,FALSE)*($B$7/4)</f>
        <v>850</v>
      </c>
      <c r="E12" s="52"/>
      <c r="G12" s="99" t="s">
        <v>22</v>
      </c>
    </row>
    <row r="13" ht="22" customHeight="1" spans="1:9">
      <c r="A13" s="50"/>
      <c r="B13" s="51" t="s">
        <v>9</v>
      </c>
      <c r="C13" s="52"/>
      <c r="D13" s="51">
        <f>VLOOKUP(B13,'B''CEBU价格表'!F3:G10,2,FALSE)*($B$7/4)</f>
        <v>700</v>
      </c>
      <c r="E13" s="52"/>
      <c r="H13" s="99"/>
      <c r="I13" s="99"/>
    </row>
    <row r="14" ht="35" customHeight="1" spans="1:9">
      <c r="A14" s="50"/>
      <c r="B14" s="95" t="s">
        <v>23</v>
      </c>
      <c r="C14" s="52"/>
      <c r="D14" s="87">
        <v>0</v>
      </c>
      <c r="E14" s="92"/>
      <c r="F14" s="99"/>
      <c r="G14" s="99" t="s">
        <v>24</v>
      </c>
      <c r="H14" s="99"/>
      <c r="I14" s="99"/>
    </row>
    <row r="15" ht="22" customHeight="1" spans="1:9">
      <c r="A15" s="50"/>
      <c r="B15" s="53" t="s">
        <v>25</v>
      </c>
      <c r="C15" s="53"/>
      <c r="D15" s="88">
        <f>SUM(D11:E14)</f>
        <v>1550</v>
      </c>
      <c r="E15" s="93"/>
      <c r="F15" s="99"/>
      <c r="G15" s="99"/>
      <c r="H15" s="99"/>
      <c r="I15" s="99"/>
    </row>
    <row r="16" ht="35" customHeight="1" spans="1:9">
      <c r="A16" s="50"/>
      <c r="B16" s="96" t="s">
        <v>26</v>
      </c>
      <c r="C16" s="55"/>
      <c r="D16" s="54">
        <v>0.8</v>
      </c>
      <c r="E16" s="55"/>
      <c r="F16" s="99"/>
      <c r="G16" s="100" t="s">
        <v>27</v>
      </c>
      <c r="H16" s="99"/>
      <c r="I16" s="99"/>
    </row>
    <row r="17" ht="35" customHeight="1" spans="1:9">
      <c r="A17" s="50"/>
      <c r="B17" s="54" t="s">
        <v>28</v>
      </c>
      <c r="C17" s="55"/>
      <c r="D17" s="54">
        <v>0</v>
      </c>
      <c r="E17" s="55"/>
      <c r="G17" s="99" t="s">
        <v>29</v>
      </c>
      <c r="H17" s="99"/>
      <c r="I17" s="99"/>
    </row>
    <row r="18" ht="63" customHeight="1" spans="1:9">
      <c r="A18" s="50"/>
      <c r="B18" s="76" t="s">
        <v>30</v>
      </c>
      <c r="C18" s="78"/>
      <c r="D18" s="54">
        <v>100</v>
      </c>
      <c r="E18" s="55"/>
      <c r="F18" s="31">
        <f>(D12+D13-D17-D18)*D16*D19+D14</f>
        <v>1044</v>
      </c>
      <c r="G18" s="99"/>
      <c r="H18" s="99"/>
      <c r="I18" s="99"/>
    </row>
    <row r="19" ht="22" customHeight="1" spans="1:7">
      <c r="A19" s="50"/>
      <c r="B19" s="89" t="s">
        <v>31</v>
      </c>
      <c r="C19" s="55"/>
      <c r="D19" s="54">
        <v>0.9</v>
      </c>
      <c r="E19" s="55"/>
      <c r="F19" s="31">
        <f>(D12+D13+D14-D17-D18)*D16*D19</f>
        <v>1044</v>
      </c>
      <c r="G19" s="101"/>
    </row>
    <row r="20" s="94" customFormat="1" ht="22" customHeight="1" spans="1:7">
      <c r="A20" s="97"/>
      <c r="B20" s="79" t="s">
        <v>32</v>
      </c>
      <c r="C20" s="79"/>
      <c r="D20" s="98" t="s">
        <v>33</v>
      </c>
      <c r="E20" s="102"/>
      <c r="F20" s="31"/>
      <c r="G20" s="103"/>
    </row>
    <row r="21" s="31" customFormat="1" ht="26.15" customHeight="1" spans="1:5">
      <c r="A21" s="49" t="s">
        <v>34</v>
      </c>
      <c r="B21" s="49"/>
      <c r="C21" s="49"/>
      <c r="D21" s="49"/>
      <c r="E21" s="49"/>
    </row>
    <row r="22" s="31" customFormat="1" ht="22" customHeight="1" spans="1:5">
      <c r="A22" s="57" t="s">
        <v>35</v>
      </c>
      <c r="B22" s="58" t="s">
        <v>36</v>
      </c>
      <c r="C22" s="59"/>
      <c r="D22" s="60" t="s">
        <v>37</v>
      </c>
      <c r="E22" s="59"/>
    </row>
    <row r="23" s="31" customFormat="1" ht="22" customHeight="1" spans="1:5">
      <c r="A23" s="61"/>
      <c r="B23" s="58" t="s">
        <v>38</v>
      </c>
      <c r="C23" s="59"/>
      <c r="D23" s="60" t="s">
        <v>39</v>
      </c>
      <c r="E23" s="59"/>
    </row>
    <row r="24" s="31" customFormat="1" ht="22" customHeight="1" spans="1:5">
      <c r="A24" s="61"/>
      <c r="B24" s="58" t="s">
        <v>40</v>
      </c>
      <c r="C24" s="59"/>
      <c r="D24" s="60" t="s">
        <v>41</v>
      </c>
      <c r="E24" s="59"/>
    </row>
    <row r="25" s="31" customFormat="1" ht="22" customHeight="1" spans="1:5">
      <c r="A25" s="61"/>
      <c r="B25" s="58" t="s">
        <v>42</v>
      </c>
      <c r="C25" s="59"/>
      <c r="D25" s="60" t="s">
        <v>43</v>
      </c>
      <c r="E25" s="59"/>
    </row>
    <row r="26" s="31" customFormat="1" ht="22" customHeight="1" spans="1:5">
      <c r="A26" s="61"/>
      <c r="B26" s="58"/>
      <c r="C26" s="59"/>
      <c r="D26" s="60" t="s">
        <v>44</v>
      </c>
      <c r="E26" s="59"/>
    </row>
    <row r="27" s="31" customFormat="1" ht="22" customHeight="1" spans="1:5">
      <c r="A27" s="61"/>
      <c r="B27" s="58"/>
      <c r="C27" s="59"/>
      <c r="D27" s="60" t="s">
        <v>45</v>
      </c>
      <c r="E27" s="59"/>
    </row>
    <row r="28" s="31" customFormat="1" ht="22" customHeight="1" spans="1:5">
      <c r="A28" s="61"/>
      <c r="B28" s="58" t="s">
        <v>46</v>
      </c>
      <c r="C28" s="59"/>
      <c r="D28" s="60" t="s">
        <v>47</v>
      </c>
      <c r="E28" s="59"/>
    </row>
    <row r="29" s="31" customFormat="1" ht="22" customHeight="1" spans="1:5">
      <c r="A29" s="61"/>
      <c r="B29" s="58" t="s">
        <v>48</v>
      </c>
      <c r="C29" s="59"/>
      <c r="D29" s="60" t="s">
        <v>49</v>
      </c>
      <c r="E29" s="59"/>
    </row>
    <row r="30" s="31" customFormat="1" ht="22" customHeight="1" spans="1:5">
      <c r="A30" s="61"/>
      <c r="B30" s="68" t="s">
        <v>50</v>
      </c>
      <c r="C30" s="59"/>
      <c r="D30" s="60" t="s">
        <v>51</v>
      </c>
      <c r="E30" s="59"/>
    </row>
    <row r="31" s="31" customFormat="1" ht="22" customHeight="1" spans="1:5">
      <c r="A31" s="61"/>
      <c r="B31" s="68" t="s">
        <v>52</v>
      </c>
      <c r="C31" s="69"/>
      <c r="D31" s="60" t="s">
        <v>53</v>
      </c>
      <c r="E31" s="59"/>
    </row>
    <row r="32" s="31" customFormat="1" ht="22" customHeight="1" spans="1:5">
      <c r="A32" s="61"/>
      <c r="B32" s="68" t="s">
        <v>54</v>
      </c>
      <c r="C32" s="69"/>
      <c r="D32" s="60" t="s">
        <v>55</v>
      </c>
      <c r="E32" s="59"/>
    </row>
    <row r="33" s="31" customFormat="1" ht="22" customHeight="1" spans="1:5">
      <c r="A33" s="61"/>
      <c r="B33" s="68" t="s">
        <v>56</v>
      </c>
      <c r="C33" s="69"/>
      <c r="D33" s="60" t="s">
        <v>57</v>
      </c>
      <c r="E33" s="59"/>
    </row>
    <row r="34" s="31" customFormat="1" ht="22" customHeight="1" spans="1:5">
      <c r="A34" s="61"/>
      <c r="B34" s="68" t="s">
        <v>58</v>
      </c>
      <c r="C34" s="69"/>
      <c r="D34" s="60" t="s">
        <v>59</v>
      </c>
      <c r="E34" s="59"/>
    </row>
    <row r="35" s="31" customFormat="1" ht="44" customHeight="1" spans="1:5">
      <c r="A35" s="61"/>
      <c r="B35" s="68" t="s">
        <v>60</v>
      </c>
      <c r="C35" s="69"/>
      <c r="D35" s="70" t="s">
        <v>61</v>
      </c>
      <c r="E35" s="59"/>
    </row>
    <row r="36" s="31" customFormat="1" ht="22" customHeight="1" spans="1:5">
      <c r="A36" s="71"/>
      <c r="B36" s="54" t="s">
        <v>62</v>
      </c>
      <c r="C36" s="55"/>
      <c r="D36" s="72" t="s">
        <v>63</v>
      </c>
      <c r="E36" s="75"/>
    </row>
    <row r="37" s="31" customFormat="1" ht="92" customHeight="1" spans="1:5">
      <c r="A37" s="73" t="s">
        <v>64</v>
      </c>
      <c r="B37" s="74"/>
      <c r="C37" s="74"/>
      <c r="D37" s="74"/>
      <c r="E37" s="74"/>
    </row>
    <row r="38" s="31" customFormat="1" ht="4" customHeight="1" spans="1:5">
      <c r="A38" s="38" t="s">
        <v>2</v>
      </c>
      <c r="B38" s="39"/>
      <c r="C38" s="39"/>
      <c r="D38" s="40"/>
      <c r="E38" s="39"/>
    </row>
    <row r="39" s="31" customFormat="1" spans="5:5">
      <c r="E39" s="32"/>
    </row>
  </sheetData>
  <sheetProtection formatCells="0" insertHyperlinks="0" autoFilter="0"/>
  <mergeCells count="53">
    <mergeCell ref="A1:E1"/>
    <mergeCell ref="A2:E2"/>
    <mergeCell ref="A3:E3"/>
    <mergeCell ref="A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A21:E21"/>
    <mergeCell ref="B22:C22"/>
    <mergeCell ref="D22:E22"/>
    <mergeCell ref="D23:E23"/>
    <mergeCell ref="D25:E25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A37:E37"/>
    <mergeCell ref="A10:A20"/>
    <mergeCell ref="A22:A36"/>
    <mergeCell ref="B25:C27"/>
  </mergeCells>
  <dataValidations count="3">
    <dataValidation allowBlank="1" showInputMessage="1" showErrorMessage="1" sqref="B6 B14:C14"/>
    <dataValidation type="list" allowBlank="1" showInputMessage="1" showErrorMessage="1" sqref="E7 B13:C13">
      <formula1>'B''CEBU价格表'!$F$3:$F$10</formula1>
    </dataValidation>
    <dataValidation type="list" allowBlank="1" showInputMessage="1" showErrorMessage="1" sqref="B8 B12:C12">
      <formula1>'B''CEBU价格表'!$A$3:$A$14</formula1>
    </dataValidation>
  </dataValidations>
  <hyperlinks>
    <hyperlink ref="A3" r:id="rId1" display="微信/电话：13249827686  邮箱: startedu86@163.com" tooltip="mailto:muqingenglish@163.com"/>
  </hyperlinks>
  <pageMargins left="0.75" right="0.75" top="1" bottom="1" header="0.509027777777778" footer="0.509027777777778"/>
  <pageSetup paperSize="9" scale="9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showGridLines="0" topLeftCell="A2" workbookViewId="0">
      <selection activeCell="B13" sqref="B13:C13"/>
    </sheetView>
  </sheetViews>
  <sheetFormatPr defaultColWidth="9.64166666666667" defaultRowHeight="14.25" outlineLevelCol="6"/>
  <cols>
    <col min="1" max="1" width="12.0333333333333" style="31" customWidth="1"/>
    <col min="2" max="2" width="19.6333333333333" style="31" customWidth="1"/>
    <col min="3" max="3" width="23.0333333333333" style="31" customWidth="1"/>
    <col min="4" max="4" width="18.4583333333333" style="31" customWidth="1"/>
    <col min="5" max="5" width="24" style="32" customWidth="1"/>
    <col min="6" max="16384" width="10" style="31"/>
  </cols>
  <sheetData>
    <row r="1" ht="59.15" customHeight="1" spans="1:7">
      <c r="A1" s="33" t="s">
        <v>0</v>
      </c>
      <c r="B1" s="34"/>
      <c r="C1" s="34"/>
      <c r="D1" s="34"/>
      <c r="E1" s="34"/>
      <c r="F1" s="62"/>
      <c r="G1" s="62"/>
    </row>
    <row r="2" spans="1:7">
      <c r="A2" s="35"/>
      <c r="B2" s="35"/>
      <c r="C2" s="35"/>
      <c r="D2" s="35"/>
      <c r="E2" s="35"/>
      <c r="F2" s="63"/>
      <c r="G2" s="63"/>
    </row>
    <row r="3" spans="1:5">
      <c r="A3" s="36" t="s">
        <v>1</v>
      </c>
      <c r="B3" s="36"/>
      <c r="C3" s="36"/>
      <c r="D3" s="36"/>
      <c r="E3" s="36"/>
    </row>
    <row r="4" ht="8.15" customHeight="1" spans="1:5">
      <c r="A4" s="82"/>
      <c r="E4" s="90"/>
    </row>
    <row r="5" ht="9" customHeight="1" spans="1:4">
      <c r="A5" s="83" t="s">
        <v>2</v>
      </c>
      <c r="B5" s="39"/>
      <c r="C5" s="39"/>
      <c r="D5" s="39"/>
    </row>
    <row r="6" ht="22" customHeight="1" spans="1:5">
      <c r="A6" s="84" t="s">
        <v>3</v>
      </c>
      <c r="B6" s="84" t="s">
        <v>4</v>
      </c>
      <c r="C6" s="84"/>
      <c r="D6" s="84" t="s">
        <v>5</v>
      </c>
      <c r="E6" s="91">
        <v>45874</v>
      </c>
    </row>
    <row r="7" ht="22" customHeight="1" spans="1:5">
      <c r="A7" s="84" t="s">
        <v>7</v>
      </c>
      <c r="B7" s="85">
        <v>8</v>
      </c>
      <c r="C7" s="84"/>
      <c r="D7" s="84" t="s">
        <v>8</v>
      </c>
      <c r="E7" s="84" t="s">
        <v>65</v>
      </c>
    </row>
    <row r="8" ht="22" customHeight="1" spans="1:5">
      <c r="A8" s="84" t="s">
        <v>11</v>
      </c>
      <c r="B8" s="84" t="s">
        <v>66</v>
      </c>
      <c r="C8" s="86" t="str">
        <f>VLOOKUP(B8,'B''CEBU价格表'!A3:C14,3,FALSE)</f>
        <v>4节1:1课程+2节团体课+1节必修课+2节模拟考试</v>
      </c>
      <c r="D8" s="84"/>
      <c r="E8" s="84"/>
    </row>
    <row r="9" ht="24" customHeight="1" spans="1:5">
      <c r="A9" s="49" t="s">
        <v>14</v>
      </c>
      <c r="B9" s="49"/>
      <c r="C9" s="49"/>
      <c r="D9" s="49"/>
      <c r="E9" s="49"/>
    </row>
    <row r="10" ht="22" customHeight="1" spans="1:5">
      <c r="A10" s="50" t="s">
        <v>16</v>
      </c>
      <c r="B10" s="50" t="s">
        <v>17</v>
      </c>
      <c r="C10" s="50"/>
      <c r="D10" s="50" t="s">
        <v>18</v>
      </c>
      <c r="E10" s="50"/>
    </row>
    <row r="11" ht="22" customHeight="1" spans="1:5">
      <c r="A11" s="50"/>
      <c r="B11" s="50" t="s">
        <v>20</v>
      </c>
      <c r="C11" s="50"/>
      <c r="D11" s="51">
        <v>0</v>
      </c>
      <c r="E11" s="52"/>
    </row>
    <row r="12" ht="22" customHeight="1" spans="1:5">
      <c r="A12" s="50"/>
      <c r="B12" s="50" t="s">
        <v>66</v>
      </c>
      <c r="C12" s="50"/>
      <c r="D12" s="51">
        <f>VLOOKUP(B12,'B''CEBU价格表'!A3:B14,2,FALSE)*($B$7/4)</f>
        <v>1900</v>
      </c>
      <c r="E12" s="52"/>
    </row>
    <row r="13" ht="22" customHeight="1" spans="1:7">
      <c r="A13" s="50"/>
      <c r="B13" s="51" t="s">
        <v>65</v>
      </c>
      <c r="C13" s="52"/>
      <c r="D13" s="51">
        <f>VLOOKUP(B13,'B''CEBU价格表'!F3:G10,2,FALSE)*($B$7/4)</f>
        <v>2600</v>
      </c>
      <c r="E13" s="52"/>
      <c r="G13" s="31" t="s">
        <v>67</v>
      </c>
    </row>
    <row r="14" ht="22" hidden="1" customHeight="1" spans="1:5">
      <c r="A14" s="50"/>
      <c r="B14" s="51" t="s">
        <v>68</v>
      </c>
      <c r="C14" s="52"/>
      <c r="D14" s="87">
        <v>0</v>
      </c>
      <c r="E14" s="92"/>
    </row>
    <row r="15" ht="22" customHeight="1" spans="1:6">
      <c r="A15" s="50"/>
      <c r="B15" s="53" t="s">
        <v>25</v>
      </c>
      <c r="C15" s="53"/>
      <c r="D15" s="88">
        <f>SUM(D11:E14)</f>
        <v>4500</v>
      </c>
      <c r="E15" s="93"/>
      <c r="F15" s="31">
        <f>D12+D13+D11+D14</f>
        <v>4500</v>
      </c>
    </row>
    <row r="16" ht="22" customHeight="1" spans="1:5">
      <c r="A16" s="50"/>
      <c r="B16" s="89" t="s">
        <v>31</v>
      </c>
      <c r="C16" s="55"/>
      <c r="D16" s="54">
        <v>0.9</v>
      </c>
      <c r="E16" s="55"/>
    </row>
    <row r="17" ht="22" customHeight="1" spans="1:6">
      <c r="A17" s="50"/>
      <c r="B17" s="53" t="s">
        <v>32</v>
      </c>
      <c r="C17" s="53"/>
      <c r="D17" s="89" t="s">
        <v>69</v>
      </c>
      <c r="E17" s="55"/>
      <c r="F17" s="31">
        <f>(D12+D13)*D16+D14</f>
        <v>4050</v>
      </c>
    </row>
    <row r="18" s="31" customFormat="1" ht="26.15" customHeight="1" spans="1:5">
      <c r="A18" s="49" t="s">
        <v>34</v>
      </c>
      <c r="B18" s="49"/>
      <c r="C18" s="49"/>
      <c r="D18" s="49"/>
      <c r="E18" s="49"/>
    </row>
    <row r="19" s="31" customFormat="1" ht="22" customHeight="1" spans="1:5">
      <c r="A19" s="57" t="s">
        <v>35</v>
      </c>
      <c r="B19" s="58" t="s">
        <v>36</v>
      </c>
      <c r="C19" s="59"/>
      <c r="D19" s="60" t="s">
        <v>37</v>
      </c>
      <c r="E19" s="59"/>
    </row>
    <row r="20" s="31" customFormat="1" ht="22" customHeight="1" spans="1:5">
      <c r="A20" s="61"/>
      <c r="B20" s="58" t="s">
        <v>38</v>
      </c>
      <c r="C20" s="59"/>
      <c r="D20" s="60" t="s">
        <v>39</v>
      </c>
      <c r="E20" s="59"/>
    </row>
    <row r="21" s="31" customFormat="1" ht="22" customHeight="1" spans="1:5">
      <c r="A21" s="61"/>
      <c r="B21" s="58" t="s">
        <v>40</v>
      </c>
      <c r="C21" s="59"/>
      <c r="D21" s="60" t="s">
        <v>41</v>
      </c>
      <c r="E21" s="59"/>
    </row>
    <row r="22" s="31" customFormat="1" ht="22" customHeight="1" spans="1:5">
      <c r="A22" s="61"/>
      <c r="B22" s="58" t="s">
        <v>42</v>
      </c>
      <c r="C22" s="59"/>
      <c r="D22" s="60" t="s">
        <v>43</v>
      </c>
      <c r="E22" s="59"/>
    </row>
    <row r="23" s="31" customFormat="1" ht="22" customHeight="1" spans="1:5">
      <c r="A23" s="61"/>
      <c r="B23" s="58"/>
      <c r="C23" s="59"/>
      <c r="D23" s="60" t="s">
        <v>44</v>
      </c>
      <c r="E23" s="59"/>
    </row>
    <row r="24" s="31" customFormat="1" ht="22" customHeight="1" spans="1:5">
      <c r="A24" s="61"/>
      <c r="B24" s="58"/>
      <c r="C24" s="59"/>
      <c r="D24" s="60" t="s">
        <v>45</v>
      </c>
      <c r="E24" s="59"/>
    </row>
    <row r="25" s="31" customFormat="1" ht="22" customHeight="1" spans="1:5">
      <c r="A25" s="61"/>
      <c r="B25" s="58" t="s">
        <v>46</v>
      </c>
      <c r="C25" s="59"/>
      <c r="D25" s="60" t="s">
        <v>47</v>
      </c>
      <c r="E25" s="59"/>
    </row>
    <row r="26" s="31" customFormat="1" ht="22" customHeight="1" spans="1:5">
      <c r="A26" s="61"/>
      <c r="B26" s="58" t="s">
        <v>48</v>
      </c>
      <c r="C26" s="59"/>
      <c r="D26" s="60" t="s">
        <v>49</v>
      </c>
      <c r="E26" s="59"/>
    </row>
    <row r="27" s="31" customFormat="1" ht="22" customHeight="1" spans="1:5">
      <c r="A27" s="61"/>
      <c r="B27" s="68" t="s">
        <v>50</v>
      </c>
      <c r="C27" s="59"/>
      <c r="D27" s="60" t="s">
        <v>51</v>
      </c>
      <c r="E27" s="59"/>
    </row>
    <row r="28" s="31" customFormat="1" ht="22" customHeight="1" spans="1:5">
      <c r="A28" s="61"/>
      <c r="B28" s="68" t="s">
        <v>52</v>
      </c>
      <c r="C28" s="69"/>
      <c r="D28" s="60" t="s">
        <v>53</v>
      </c>
      <c r="E28" s="59"/>
    </row>
    <row r="29" s="31" customFormat="1" ht="22" customHeight="1" spans="1:5">
      <c r="A29" s="61"/>
      <c r="B29" s="68" t="s">
        <v>54</v>
      </c>
      <c r="C29" s="69"/>
      <c r="D29" s="60" t="s">
        <v>55</v>
      </c>
      <c r="E29" s="59"/>
    </row>
    <row r="30" s="31" customFormat="1" ht="22" customHeight="1" spans="1:5">
      <c r="A30" s="61"/>
      <c r="B30" s="68" t="s">
        <v>56</v>
      </c>
      <c r="C30" s="69"/>
      <c r="D30" s="60" t="s">
        <v>57</v>
      </c>
      <c r="E30" s="59"/>
    </row>
    <row r="31" s="31" customFormat="1" ht="22" customHeight="1" spans="1:5">
      <c r="A31" s="61"/>
      <c r="B31" s="68" t="s">
        <v>58</v>
      </c>
      <c r="C31" s="69"/>
      <c r="D31" s="60" t="s">
        <v>59</v>
      </c>
      <c r="E31" s="59"/>
    </row>
    <row r="32" s="31" customFormat="1" ht="35" customHeight="1" spans="1:5">
      <c r="A32" s="61"/>
      <c r="B32" s="68" t="s">
        <v>60</v>
      </c>
      <c r="C32" s="69"/>
      <c r="D32" s="70" t="s">
        <v>61</v>
      </c>
      <c r="E32" s="59"/>
    </row>
    <row r="33" s="31" customFormat="1" ht="22" customHeight="1" spans="1:5">
      <c r="A33" s="71"/>
      <c r="B33" s="54" t="s">
        <v>62</v>
      </c>
      <c r="C33" s="55"/>
      <c r="D33" s="72" t="s">
        <v>63</v>
      </c>
      <c r="E33" s="75"/>
    </row>
    <row r="34" s="31" customFormat="1" ht="92" customHeight="1" spans="1:5">
      <c r="A34" s="73" t="s">
        <v>64</v>
      </c>
      <c r="B34" s="74"/>
      <c r="C34" s="74"/>
      <c r="D34" s="74"/>
      <c r="E34" s="74"/>
    </row>
    <row r="35" s="31" customFormat="1" ht="4" customHeight="1" spans="1:5">
      <c r="A35" s="38" t="s">
        <v>2</v>
      </c>
      <c r="B35" s="39"/>
      <c r="C35" s="39"/>
      <c r="D35" s="40"/>
      <c r="E35" s="39"/>
    </row>
    <row r="36" s="31" customFormat="1" spans="5:5">
      <c r="E36" s="32"/>
    </row>
  </sheetData>
  <sheetProtection formatCells="0" insertHyperlinks="0" autoFilter="0"/>
  <mergeCells count="47">
    <mergeCell ref="A1:E1"/>
    <mergeCell ref="A2:E2"/>
    <mergeCell ref="A3:E3"/>
    <mergeCell ref="A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A18:E18"/>
    <mergeCell ref="B19:C19"/>
    <mergeCell ref="D19:E19"/>
    <mergeCell ref="D20:E20"/>
    <mergeCell ref="D22:E22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A34:E34"/>
    <mergeCell ref="A10:A17"/>
    <mergeCell ref="A19:A33"/>
    <mergeCell ref="B22:C24"/>
  </mergeCells>
  <dataValidations count="3">
    <dataValidation allowBlank="1" showInputMessage="1" showErrorMessage="1" sqref="B6 B14:C14"/>
    <dataValidation type="list" allowBlank="1" showInputMessage="1" showErrorMessage="1" sqref="E7 B13:C13">
      <formula1>'B''CEBU价格表'!$F$3:$F$10</formula1>
    </dataValidation>
    <dataValidation type="list" allowBlank="1" showInputMessage="1" showErrorMessage="1" sqref="B8 B12:C12">
      <formula1>'B''CEBU价格表'!$A$3:$A$14</formula1>
    </dataValidation>
  </dataValidations>
  <hyperlinks>
    <hyperlink ref="A3" r:id="rId1" display="微信/电话：13249827686  邮箱: startedu86@163.com" tooltip="mailto:muqingenglish@163.com"/>
  </hyperlinks>
  <pageMargins left="0.75" right="0.75" top="1" bottom="1" header="0.509027777777778" footer="0.509027777777778"/>
  <pageSetup paperSize="9" scale="9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showGridLines="0" zoomScale="92" zoomScaleNormal="92" topLeftCell="A11" workbookViewId="0">
      <selection activeCell="B19" sqref="B19:C19"/>
    </sheetView>
  </sheetViews>
  <sheetFormatPr defaultColWidth="9.64166666666667" defaultRowHeight="14.25"/>
  <cols>
    <col min="1" max="1" width="12.0333333333333" style="31" customWidth="1"/>
    <col min="2" max="3" width="20.6416666666667" style="31" customWidth="1"/>
    <col min="4" max="4" width="25.1083333333333" style="31" customWidth="1"/>
    <col min="5" max="5" width="17.775" style="32" customWidth="1"/>
    <col min="6" max="16384" width="9.91666666666667" style="31"/>
  </cols>
  <sheetData>
    <row r="1" ht="59.15" customHeight="1" spans="1:7">
      <c r="A1" s="33" t="s">
        <v>0</v>
      </c>
      <c r="B1" s="34"/>
      <c r="C1" s="34"/>
      <c r="D1" s="34"/>
      <c r="E1" s="34"/>
      <c r="F1" s="62"/>
      <c r="G1" s="62"/>
    </row>
    <row r="2" spans="1:7">
      <c r="A2" s="35"/>
      <c r="B2" s="35"/>
      <c r="C2" s="35"/>
      <c r="D2" s="35"/>
      <c r="E2" s="35"/>
      <c r="F2" s="63"/>
      <c r="G2" s="63"/>
    </row>
    <row r="3" spans="1:5">
      <c r="A3" s="36" t="s">
        <v>70</v>
      </c>
      <c r="B3" s="36"/>
      <c r="C3" s="36"/>
      <c r="D3" s="36"/>
      <c r="E3" s="36"/>
    </row>
    <row r="4" s="31" customFormat="1" ht="8.15" customHeight="1" spans="4:5">
      <c r="D4" s="32"/>
      <c r="E4" s="32"/>
    </row>
    <row r="5" s="31" customFormat="1" ht="4" customHeight="1" spans="1:5">
      <c r="A5" s="38" t="s">
        <v>2</v>
      </c>
      <c r="B5" s="39"/>
      <c r="C5" s="39"/>
      <c r="D5" s="40"/>
      <c r="E5" s="39"/>
    </row>
    <row r="6" ht="22" customHeight="1" spans="1:5">
      <c r="A6" s="41" t="s">
        <v>3</v>
      </c>
      <c r="B6" s="41" t="s">
        <v>4</v>
      </c>
      <c r="C6" s="42"/>
      <c r="D6" s="42" t="s">
        <v>5</v>
      </c>
      <c r="E6" s="65">
        <v>45862</v>
      </c>
    </row>
    <row r="7" ht="6" customHeight="1" spans="1:5">
      <c r="A7" s="43"/>
      <c r="B7" s="43"/>
      <c r="C7" s="44"/>
      <c r="D7" s="44"/>
      <c r="E7" s="66"/>
    </row>
    <row r="8" ht="22" customHeight="1" spans="1:5">
      <c r="A8" s="45" t="s">
        <v>71</v>
      </c>
      <c r="B8" s="41" t="s">
        <v>72</v>
      </c>
      <c r="C8" s="41" t="s">
        <v>73</v>
      </c>
      <c r="D8" s="42"/>
      <c r="E8" s="45" t="s">
        <v>74</v>
      </c>
    </row>
    <row r="9" ht="22" customHeight="1" spans="1:5">
      <c r="A9" s="46">
        <v>12</v>
      </c>
      <c r="B9" s="47" t="s">
        <v>75</v>
      </c>
      <c r="C9" s="47" t="str">
        <f>VLOOKUP(B9,'B''CEBU价格表'!A3:C14,3,FALSE)</f>
        <v>5节1:1课程+2节小组课程+3节强制晚课+2节强制自习</v>
      </c>
      <c r="D9" s="42"/>
      <c r="E9" s="48" t="s">
        <v>9</v>
      </c>
    </row>
    <row r="10" ht="22" customHeight="1" spans="1:5">
      <c r="A10" s="46">
        <v>12</v>
      </c>
      <c r="B10" s="47" t="s">
        <v>76</v>
      </c>
      <c r="C10" s="47" t="str">
        <f>VLOOKUP(B10,'B''CEBU价格表'!A3:C14,3,FALSE)</f>
        <v>4节1:1课程+2节团体课+3节必修课+2节模拟考试</v>
      </c>
      <c r="D10" s="42"/>
      <c r="E10" s="48" t="s">
        <v>9</v>
      </c>
    </row>
    <row r="11" ht="24" customHeight="1" spans="1:5">
      <c r="A11" s="49" t="s">
        <v>14</v>
      </c>
      <c r="B11" s="49"/>
      <c r="C11" s="49"/>
      <c r="D11" s="49"/>
      <c r="E11" s="49"/>
    </row>
    <row r="12" ht="22" customHeight="1" spans="1:5">
      <c r="A12" s="50" t="s">
        <v>16</v>
      </c>
      <c r="B12" s="50" t="s">
        <v>17</v>
      </c>
      <c r="C12" s="50"/>
      <c r="D12" s="51" t="s">
        <v>18</v>
      </c>
      <c r="E12" s="52"/>
    </row>
    <row r="13" ht="22" customHeight="1" spans="1:5">
      <c r="A13" s="50"/>
      <c r="B13" s="50" t="s">
        <v>20</v>
      </c>
      <c r="C13" s="50"/>
      <c r="D13" s="51">
        <v>0</v>
      </c>
      <c r="E13" s="52"/>
    </row>
    <row r="14" ht="22" customHeight="1" spans="1:5">
      <c r="A14" s="50"/>
      <c r="B14" s="50" t="s">
        <v>75</v>
      </c>
      <c r="C14" s="50"/>
      <c r="D14" s="51">
        <f>VLOOKUP(B14,'B''CEBU价格表'!A3:B14,2,FALSE)*($A$9/4)</f>
        <v>3000</v>
      </c>
      <c r="E14" s="52"/>
    </row>
    <row r="15" ht="22" customHeight="1" spans="1:5">
      <c r="A15" s="50"/>
      <c r="B15" s="50" t="s">
        <v>77</v>
      </c>
      <c r="C15" s="50"/>
      <c r="D15" s="51">
        <f>VLOOKUP(B15,'B''CEBU价格表'!A3:B14,2,FALSE)*($A$10/4)</f>
        <v>3300</v>
      </c>
      <c r="E15" s="52"/>
    </row>
    <row r="16" ht="22" customHeight="1" spans="1:5">
      <c r="A16" s="50"/>
      <c r="B16" s="51" t="s">
        <v>9</v>
      </c>
      <c r="C16" s="52"/>
      <c r="D16" s="51">
        <f>VLOOKUP(B16,'B''CEBU价格表'!F3:G10,2,FALSE)*($A$9/4)</f>
        <v>2100</v>
      </c>
      <c r="E16" s="52"/>
    </row>
    <row r="17" ht="22" customHeight="1" spans="1:5">
      <c r="A17" s="50"/>
      <c r="B17" s="51" t="s">
        <v>9</v>
      </c>
      <c r="C17" s="52"/>
      <c r="D17" s="51">
        <f>VLOOKUP(B17,'B''CEBU价格表'!F3:G10,2,FALSE)*($A$10/4)</f>
        <v>2100</v>
      </c>
      <c r="E17" s="52"/>
    </row>
    <row r="18" ht="22" customHeight="1" spans="1:5">
      <c r="A18" s="50"/>
      <c r="B18" s="53" t="s">
        <v>25</v>
      </c>
      <c r="C18" s="53"/>
      <c r="D18" s="54">
        <f>SUM(D14:E17)</f>
        <v>10500</v>
      </c>
      <c r="E18" s="55"/>
    </row>
    <row r="19" ht="35" customHeight="1" spans="1:5">
      <c r="A19" s="50"/>
      <c r="B19" s="76" t="s">
        <v>78</v>
      </c>
      <c r="C19" s="55"/>
      <c r="D19" s="54">
        <v>0.8</v>
      </c>
      <c r="E19" s="55"/>
    </row>
    <row r="20" ht="35" customHeight="1" spans="1:9">
      <c r="A20" s="50"/>
      <c r="B20" s="76" t="s">
        <v>79</v>
      </c>
      <c r="C20" s="77"/>
      <c r="D20" s="54">
        <v>400</v>
      </c>
      <c r="E20" s="55"/>
      <c r="I20" s="31" t="s">
        <v>80</v>
      </c>
    </row>
    <row r="21" ht="65" customHeight="1" spans="1:9">
      <c r="A21" s="50"/>
      <c r="B21" s="76" t="s">
        <v>81</v>
      </c>
      <c r="C21" s="78"/>
      <c r="D21" s="54">
        <v>600</v>
      </c>
      <c r="E21" s="55"/>
      <c r="I21" s="31" t="s">
        <v>82</v>
      </c>
    </row>
    <row r="22" ht="22" customHeight="1" spans="1:5">
      <c r="A22" s="50"/>
      <c r="B22" s="54" t="s">
        <v>83</v>
      </c>
      <c r="C22" s="55"/>
      <c r="D22" s="54">
        <v>0.9</v>
      </c>
      <c r="E22" s="55"/>
    </row>
    <row r="23" ht="22" customHeight="1" spans="1:9">
      <c r="A23" s="50"/>
      <c r="B23" s="79" t="s">
        <v>32</v>
      </c>
      <c r="C23" s="79"/>
      <c r="D23" s="80" t="s">
        <v>84</v>
      </c>
      <c r="E23" s="81"/>
      <c r="F23" s="31">
        <f>(D14+D15+D16+D17-D20-D21)*D19*D22</f>
        <v>6840</v>
      </c>
      <c r="I23" s="31" t="s">
        <v>85</v>
      </c>
    </row>
    <row r="24" ht="26.15" customHeight="1" spans="1:5">
      <c r="A24" s="49" t="s">
        <v>34</v>
      </c>
      <c r="B24" s="49"/>
      <c r="C24" s="49"/>
      <c r="D24" s="49"/>
      <c r="E24" s="49"/>
    </row>
    <row r="25" ht="22" customHeight="1" spans="1:9">
      <c r="A25" s="57" t="s">
        <v>35</v>
      </c>
      <c r="B25" s="58" t="s">
        <v>36</v>
      </c>
      <c r="C25" s="59"/>
      <c r="D25" s="60" t="s">
        <v>37</v>
      </c>
      <c r="E25" s="59"/>
      <c r="I25" s="31" t="s">
        <v>86</v>
      </c>
    </row>
    <row r="26" ht="22" customHeight="1" spans="1:5">
      <c r="A26" s="61"/>
      <c r="B26" s="58" t="s">
        <v>38</v>
      </c>
      <c r="C26" s="59"/>
      <c r="D26" s="60" t="s">
        <v>39</v>
      </c>
      <c r="E26" s="59"/>
    </row>
    <row r="27" ht="22" customHeight="1" spans="1:5">
      <c r="A27" s="61"/>
      <c r="B27" s="58" t="s">
        <v>40</v>
      </c>
      <c r="C27" s="59"/>
      <c r="D27" s="60" t="s">
        <v>41</v>
      </c>
      <c r="E27" s="59"/>
    </row>
    <row r="28" ht="22" customHeight="1" spans="1:5">
      <c r="A28" s="61"/>
      <c r="B28" s="58" t="s">
        <v>42</v>
      </c>
      <c r="C28" s="59"/>
      <c r="D28" s="60" t="s">
        <v>43</v>
      </c>
      <c r="E28" s="59"/>
    </row>
    <row r="29" ht="22" customHeight="1" spans="1:5">
      <c r="A29" s="61"/>
      <c r="B29" s="58"/>
      <c r="C29" s="59"/>
      <c r="D29" s="60" t="s">
        <v>44</v>
      </c>
      <c r="E29" s="59"/>
    </row>
    <row r="30" ht="22" customHeight="1" spans="1:5">
      <c r="A30" s="61"/>
      <c r="B30" s="58"/>
      <c r="C30" s="59"/>
      <c r="D30" s="60" t="s">
        <v>45</v>
      </c>
      <c r="E30" s="59"/>
    </row>
    <row r="31" ht="22" customHeight="1" spans="1:5">
      <c r="A31" s="61"/>
      <c r="B31" s="58" t="s">
        <v>46</v>
      </c>
      <c r="C31" s="59"/>
      <c r="D31" s="60" t="s">
        <v>47</v>
      </c>
      <c r="E31" s="59"/>
    </row>
    <row r="32" ht="22" customHeight="1" spans="1:5">
      <c r="A32" s="61"/>
      <c r="B32" s="58" t="s">
        <v>48</v>
      </c>
      <c r="C32" s="59"/>
      <c r="D32" s="60" t="s">
        <v>49</v>
      </c>
      <c r="E32" s="59"/>
    </row>
    <row r="33" ht="22" customHeight="1" spans="1:5">
      <c r="A33" s="61"/>
      <c r="B33" s="68" t="s">
        <v>50</v>
      </c>
      <c r="C33" s="59"/>
      <c r="D33" s="60" t="s">
        <v>51</v>
      </c>
      <c r="E33" s="59"/>
    </row>
    <row r="34" ht="22" customHeight="1" spans="1:5">
      <c r="A34" s="61"/>
      <c r="B34" s="68" t="s">
        <v>52</v>
      </c>
      <c r="C34" s="69"/>
      <c r="D34" s="60" t="s">
        <v>53</v>
      </c>
      <c r="E34" s="59"/>
    </row>
    <row r="35" ht="22" customHeight="1" spans="1:5">
      <c r="A35" s="61"/>
      <c r="B35" s="68" t="s">
        <v>54</v>
      </c>
      <c r="C35" s="69"/>
      <c r="D35" s="60" t="s">
        <v>55</v>
      </c>
      <c r="E35" s="59"/>
    </row>
    <row r="36" ht="22" customHeight="1" spans="1:5">
      <c r="A36" s="61"/>
      <c r="B36" s="68" t="s">
        <v>56</v>
      </c>
      <c r="C36" s="69"/>
      <c r="D36" s="60" t="s">
        <v>57</v>
      </c>
      <c r="E36" s="59"/>
    </row>
    <row r="37" ht="22" customHeight="1" spans="1:5">
      <c r="A37" s="61"/>
      <c r="B37" s="68" t="s">
        <v>58</v>
      </c>
      <c r="C37" s="69"/>
      <c r="D37" s="60" t="s">
        <v>59</v>
      </c>
      <c r="E37" s="59"/>
    </row>
    <row r="38" ht="44" hidden="1" customHeight="1" spans="1:5">
      <c r="A38" s="61"/>
      <c r="B38" s="68" t="s">
        <v>60</v>
      </c>
      <c r="C38" s="69"/>
      <c r="D38" s="70" t="s">
        <v>61</v>
      </c>
      <c r="E38" s="59"/>
    </row>
    <row r="39" ht="22" customHeight="1" spans="1:5">
      <c r="A39" s="71"/>
      <c r="B39" s="54" t="s">
        <v>62</v>
      </c>
      <c r="C39" s="55"/>
      <c r="D39" s="72" t="s">
        <v>63</v>
      </c>
      <c r="E39" s="75"/>
    </row>
    <row r="40" ht="86" customHeight="1" spans="1:5">
      <c r="A40" s="73" t="s">
        <v>64</v>
      </c>
      <c r="B40" s="74"/>
      <c r="C40" s="74"/>
      <c r="D40" s="74"/>
      <c r="E40" s="74"/>
    </row>
    <row r="41" s="31" customFormat="1" ht="4" customHeight="1" spans="1:5">
      <c r="A41" s="38" t="s">
        <v>2</v>
      </c>
      <c r="B41" s="39"/>
      <c r="C41" s="39"/>
      <c r="D41" s="40"/>
      <c r="E41" s="39"/>
    </row>
  </sheetData>
  <sheetProtection formatCells="0" insertHyperlinks="0" autoFilter="0"/>
  <mergeCells count="55">
    <mergeCell ref="A1:E1"/>
    <mergeCell ref="A2:E2"/>
    <mergeCell ref="A3:E3"/>
    <mergeCell ref="A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A24:E24"/>
    <mergeCell ref="B25:C25"/>
    <mergeCell ref="D25:E25"/>
    <mergeCell ref="D26:E26"/>
    <mergeCell ref="D28:E28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A40:E40"/>
    <mergeCell ref="A12:A23"/>
    <mergeCell ref="A25:A39"/>
    <mergeCell ref="B28:C30"/>
  </mergeCells>
  <dataValidations count="4">
    <dataValidation allowBlank="1" showInputMessage="1" showErrorMessage="1" sqref="B6"/>
    <dataValidation type="list" allowBlank="1" showInputMessage="1" showErrorMessage="1" sqref="B7 E8">
      <formula1>#REF!</formula1>
    </dataValidation>
    <dataValidation type="list" allowBlank="1" showInputMessage="1" showErrorMessage="1" sqref="B9:B10 B14:C15">
      <formula1>'B''CEBU价格表'!$A$3:$A$14</formula1>
    </dataValidation>
    <dataValidation type="list" allowBlank="1" showInputMessage="1" showErrorMessage="1" sqref="E9:E10 B16:C17">
      <formula1>'B''CEBU价格表'!$F$3:$F$10</formula1>
    </dataValidation>
  </dataValidations>
  <hyperlinks>
    <hyperlink ref="A3" r:id="rId1" display="微信/电话：15367659331  邮箱:startedu86@163.com" tooltip="mailto:muqingenglish@163.com"/>
  </hyperlinks>
  <pageMargins left="0.75" right="0.75" top="1" bottom="1" header="0.509027777777778" footer="0.509027777777778"/>
  <pageSetup paperSize="9" scale="83" orientation="portrait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showGridLines="0" topLeftCell="A23" workbookViewId="0">
      <selection activeCell="B39" sqref="$A26:$XFD40"/>
    </sheetView>
  </sheetViews>
  <sheetFormatPr defaultColWidth="9.64166666666667" defaultRowHeight="14.25" outlineLevelCol="6"/>
  <cols>
    <col min="1" max="1" width="12.0333333333333" style="31" customWidth="1"/>
    <col min="2" max="2" width="19.6333333333333" style="31" customWidth="1"/>
    <col min="3" max="3" width="23.0333333333333" style="31" customWidth="1"/>
    <col min="4" max="4" width="25.4916666666667" style="31" customWidth="1"/>
    <col min="5" max="5" width="20.3666666666667" style="32" customWidth="1"/>
    <col min="6" max="16384" width="9.91666666666667" style="31"/>
  </cols>
  <sheetData>
    <row r="1" ht="59.15" customHeight="1" spans="1:7">
      <c r="A1" s="33" t="s">
        <v>0</v>
      </c>
      <c r="B1" s="34"/>
      <c r="C1" s="34"/>
      <c r="D1" s="34"/>
      <c r="E1" s="34"/>
      <c r="F1" s="62"/>
      <c r="G1" s="62"/>
    </row>
    <row r="2" spans="1:7">
      <c r="A2" s="35"/>
      <c r="B2" s="35"/>
      <c r="C2" s="35"/>
      <c r="D2" s="35"/>
      <c r="E2" s="35"/>
      <c r="F2" s="63"/>
      <c r="G2" s="63"/>
    </row>
    <row r="3" spans="1:5">
      <c r="A3" s="36" t="s">
        <v>87</v>
      </c>
      <c r="B3" s="36"/>
      <c r="C3" s="36"/>
      <c r="D3" s="36"/>
      <c r="E3" s="36"/>
    </row>
    <row r="4" ht="8.15" customHeight="1" spans="1:5">
      <c r="A4" s="37"/>
      <c r="B4" s="37"/>
      <c r="C4" s="37"/>
      <c r="D4" s="37"/>
      <c r="E4" s="64"/>
    </row>
    <row r="5" s="31" customFormat="1" ht="4" customHeight="1" spans="1:5">
      <c r="A5" s="38" t="s">
        <v>2</v>
      </c>
      <c r="B5" s="39"/>
      <c r="C5" s="39"/>
      <c r="D5" s="40"/>
      <c r="E5" s="39"/>
    </row>
    <row r="6" ht="22" customHeight="1" spans="1:5">
      <c r="A6" s="41" t="s">
        <v>3</v>
      </c>
      <c r="B6" s="41" t="s">
        <v>4</v>
      </c>
      <c r="C6" s="42"/>
      <c r="D6" s="42" t="s">
        <v>5</v>
      </c>
      <c r="E6" s="65">
        <v>45790</v>
      </c>
    </row>
    <row r="7" ht="6" customHeight="1" spans="1:5">
      <c r="A7" s="43"/>
      <c r="B7" s="43"/>
      <c r="C7" s="44"/>
      <c r="D7" s="44"/>
      <c r="E7" s="66"/>
    </row>
    <row r="8" ht="22" customHeight="1" spans="1:5">
      <c r="A8" s="45" t="s">
        <v>71</v>
      </c>
      <c r="B8" s="41" t="s">
        <v>72</v>
      </c>
      <c r="C8" s="41" t="s">
        <v>73</v>
      </c>
      <c r="D8" s="42"/>
      <c r="E8" s="45" t="s">
        <v>74</v>
      </c>
    </row>
    <row r="9" ht="22" customHeight="1" spans="1:5">
      <c r="A9" s="46">
        <v>4</v>
      </c>
      <c r="B9" s="47" t="s">
        <v>12</v>
      </c>
      <c r="C9" s="47" t="str">
        <f>VLOOKUP(B9,'B''CEBU价格表'!A3:C14,3,FALSE)</f>
        <v>4节1:1课程+2节小组课程+2节晚课 (选修)</v>
      </c>
      <c r="D9" s="42"/>
      <c r="E9" s="48" t="s">
        <v>9</v>
      </c>
    </row>
    <row r="10" ht="22" customHeight="1" spans="1:5">
      <c r="A10" s="46">
        <v>4</v>
      </c>
      <c r="B10" s="47" t="s">
        <v>88</v>
      </c>
      <c r="C10" s="47" t="str">
        <f>VLOOKUP(B10,'B''CEBU价格表'!A4:C14,3,FALSE)</f>
        <v>6节1:1 课程</v>
      </c>
      <c r="D10" s="48"/>
      <c r="E10" s="48" t="s">
        <v>9</v>
      </c>
    </row>
    <row r="11" ht="22" customHeight="1" spans="1:5">
      <c r="A11" s="46">
        <v>4</v>
      </c>
      <c r="B11" s="47" t="s">
        <v>89</v>
      </c>
      <c r="C11" s="47" t="str">
        <f>VLOOKUP(B11,'B''CEBU价格表'!A3:C123,3,FALSE)</f>
        <v>2节1: 1课程</v>
      </c>
      <c r="D11" s="42"/>
      <c r="E11" s="48" t="s">
        <v>9</v>
      </c>
    </row>
    <row r="12" ht="24" customHeight="1" spans="1:5">
      <c r="A12" s="49" t="s">
        <v>14</v>
      </c>
      <c r="B12" s="49"/>
      <c r="C12" s="49"/>
      <c r="D12" s="49"/>
      <c r="E12" s="49"/>
    </row>
    <row r="13" ht="22" customHeight="1" spans="1:5">
      <c r="A13" s="50" t="s">
        <v>16</v>
      </c>
      <c r="B13" s="50" t="s">
        <v>17</v>
      </c>
      <c r="C13" s="50"/>
      <c r="D13" s="51" t="s">
        <v>18</v>
      </c>
      <c r="E13" s="52"/>
    </row>
    <row r="14" ht="22" customHeight="1" spans="1:5">
      <c r="A14" s="50"/>
      <c r="B14" s="50" t="s">
        <v>90</v>
      </c>
      <c r="C14" s="50"/>
      <c r="D14" s="51">
        <v>0</v>
      </c>
      <c r="E14" s="52"/>
    </row>
    <row r="15" ht="24" customHeight="1" spans="1:5">
      <c r="A15" s="50"/>
      <c r="B15" s="50" t="s">
        <v>88</v>
      </c>
      <c r="C15" s="50"/>
      <c r="D15" s="51">
        <f>VLOOKUP(B15,'B''CEBU价格表'!A4:B15,2,FALSE)*($A$9/4)</f>
        <v>1200</v>
      </c>
      <c r="E15" s="52"/>
    </row>
    <row r="16" ht="22" customHeight="1" spans="1:5">
      <c r="A16" s="50"/>
      <c r="B16" s="50" t="s">
        <v>88</v>
      </c>
      <c r="C16" s="50"/>
      <c r="D16" s="51">
        <f>VLOOKUP(B16,'B''CEBU价格表'!A4:B15,2,FALSE)*($A$10/4)</f>
        <v>1200</v>
      </c>
      <c r="E16" s="52"/>
    </row>
    <row r="17" ht="22" customHeight="1" spans="1:5">
      <c r="A17" s="50"/>
      <c r="B17" s="50" t="s">
        <v>89</v>
      </c>
      <c r="C17" s="50"/>
      <c r="D17" s="51">
        <f>VLOOKUP(B17,'B''CEBU价格表'!A3:C14,2,FALSE)*($A$11/4)</f>
        <v>350</v>
      </c>
      <c r="E17" s="52"/>
    </row>
    <row r="18" ht="22" customHeight="1" spans="1:5">
      <c r="A18" s="50"/>
      <c r="B18" s="51" t="s">
        <v>9</v>
      </c>
      <c r="C18" s="52"/>
      <c r="D18" s="51">
        <f>VLOOKUP(B18,'B''CEBU价格表'!F3:G10,2,FALSE)*($A$9/4)</f>
        <v>700</v>
      </c>
      <c r="E18" s="52"/>
    </row>
    <row r="19" ht="22" customHeight="1" spans="1:5">
      <c r="A19" s="50"/>
      <c r="B19" s="51" t="s">
        <v>9</v>
      </c>
      <c r="C19" s="52"/>
      <c r="D19" s="51">
        <f>VLOOKUP(B19,'B''CEBU价格表'!F5:G10,2,FALSE)*($A$9/4)</f>
        <v>700</v>
      </c>
      <c r="E19" s="52"/>
    </row>
    <row r="20" ht="22" customHeight="1" spans="1:5">
      <c r="A20" s="50"/>
      <c r="B20" s="51" t="s">
        <v>9</v>
      </c>
      <c r="C20" s="52"/>
      <c r="D20" s="51">
        <f>VLOOKUP(B20,'B''CEBU价格表'!F6:G13,2,FALSE)*($A$9/4)</f>
        <v>700</v>
      </c>
      <c r="E20" s="52"/>
    </row>
    <row r="21" ht="22" customHeight="1" spans="1:5">
      <c r="A21" s="50"/>
      <c r="B21" s="53" t="s">
        <v>25</v>
      </c>
      <c r="C21" s="53"/>
      <c r="D21" s="54">
        <f>SUM(D14:E20)</f>
        <v>4850</v>
      </c>
      <c r="E21" s="55"/>
    </row>
    <row r="22" ht="22" hidden="1" customHeight="1" spans="1:5">
      <c r="A22" s="50"/>
      <c r="B22" s="54" t="s">
        <v>91</v>
      </c>
      <c r="C22" s="55"/>
      <c r="D22" s="54">
        <v>0</v>
      </c>
      <c r="E22" s="55"/>
    </row>
    <row r="23" ht="22" customHeight="1" spans="1:6">
      <c r="A23" s="50"/>
      <c r="B23" s="54" t="s">
        <v>83</v>
      </c>
      <c r="C23" s="55"/>
      <c r="D23" s="54">
        <v>0.9</v>
      </c>
      <c r="E23" s="55"/>
      <c r="F23" s="31">
        <f>(D21-D14-D22)*D23+D14</f>
        <v>4365</v>
      </c>
    </row>
    <row r="24" ht="22" customHeight="1" spans="1:5">
      <c r="A24" s="50"/>
      <c r="B24" s="53" t="s">
        <v>32</v>
      </c>
      <c r="C24" s="53"/>
      <c r="D24" s="56" t="s">
        <v>92</v>
      </c>
      <c r="E24" s="67"/>
    </row>
    <row r="25" ht="26.15" customHeight="1" spans="1:5">
      <c r="A25" s="49" t="s">
        <v>34</v>
      </c>
      <c r="B25" s="49"/>
      <c r="C25" s="49"/>
      <c r="D25" s="49"/>
      <c r="E25" s="49"/>
    </row>
    <row r="26" ht="22" customHeight="1" spans="1:5">
      <c r="A26" s="57" t="s">
        <v>35</v>
      </c>
      <c r="B26" s="58" t="s">
        <v>36</v>
      </c>
      <c r="C26" s="59"/>
      <c r="D26" s="60" t="s">
        <v>37</v>
      </c>
      <c r="E26" s="59"/>
    </row>
    <row r="27" ht="22" customHeight="1" spans="1:5">
      <c r="A27" s="61"/>
      <c r="B27" s="58" t="s">
        <v>38</v>
      </c>
      <c r="C27" s="59"/>
      <c r="D27" s="60" t="s">
        <v>39</v>
      </c>
      <c r="E27" s="59"/>
    </row>
    <row r="28" ht="22" customHeight="1" spans="1:5">
      <c r="A28" s="61"/>
      <c r="B28" s="58" t="s">
        <v>40</v>
      </c>
      <c r="C28" s="59"/>
      <c r="D28" s="60" t="s">
        <v>41</v>
      </c>
      <c r="E28" s="59"/>
    </row>
    <row r="29" ht="22" customHeight="1" spans="1:5">
      <c r="A29" s="61"/>
      <c r="B29" s="58" t="s">
        <v>42</v>
      </c>
      <c r="C29" s="59"/>
      <c r="D29" s="60" t="s">
        <v>43</v>
      </c>
      <c r="E29" s="59"/>
    </row>
    <row r="30" ht="22" customHeight="1" spans="1:5">
      <c r="A30" s="61"/>
      <c r="B30" s="58"/>
      <c r="C30" s="59"/>
      <c r="D30" s="60" t="s">
        <v>44</v>
      </c>
      <c r="E30" s="59"/>
    </row>
    <row r="31" ht="22" customHeight="1" spans="1:5">
      <c r="A31" s="61"/>
      <c r="B31" s="58"/>
      <c r="C31" s="59"/>
      <c r="D31" s="60" t="s">
        <v>45</v>
      </c>
      <c r="E31" s="59"/>
    </row>
    <row r="32" ht="22" customHeight="1" spans="1:5">
      <c r="A32" s="61"/>
      <c r="B32" s="58" t="s">
        <v>46</v>
      </c>
      <c r="C32" s="59"/>
      <c r="D32" s="60" t="s">
        <v>47</v>
      </c>
      <c r="E32" s="59"/>
    </row>
    <row r="33" ht="22" customHeight="1" spans="1:5">
      <c r="A33" s="61"/>
      <c r="B33" s="58" t="s">
        <v>48</v>
      </c>
      <c r="C33" s="59"/>
      <c r="D33" s="60" t="s">
        <v>49</v>
      </c>
      <c r="E33" s="59"/>
    </row>
    <row r="34" ht="22" customHeight="1" spans="1:5">
      <c r="A34" s="61"/>
      <c r="B34" s="68" t="s">
        <v>50</v>
      </c>
      <c r="C34" s="59"/>
      <c r="D34" s="60" t="s">
        <v>51</v>
      </c>
      <c r="E34" s="59"/>
    </row>
    <row r="35" ht="22" customHeight="1" spans="1:5">
      <c r="A35" s="61"/>
      <c r="B35" s="68" t="s">
        <v>52</v>
      </c>
      <c r="C35" s="69"/>
      <c r="D35" s="60" t="s">
        <v>53</v>
      </c>
      <c r="E35" s="59"/>
    </row>
    <row r="36" ht="22" customHeight="1" spans="1:5">
      <c r="A36" s="61"/>
      <c r="B36" s="68" t="s">
        <v>54</v>
      </c>
      <c r="C36" s="69"/>
      <c r="D36" s="60" t="s">
        <v>55</v>
      </c>
      <c r="E36" s="59"/>
    </row>
    <row r="37" ht="22" customHeight="1" spans="1:5">
      <c r="A37" s="61"/>
      <c r="B37" s="68" t="s">
        <v>56</v>
      </c>
      <c r="C37" s="69"/>
      <c r="D37" s="60" t="s">
        <v>57</v>
      </c>
      <c r="E37" s="59"/>
    </row>
    <row r="38" ht="22" customHeight="1" spans="1:5">
      <c r="A38" s="61"/>
      <c r="B38" s="68" t="s">
        <v>58</v>
      </c>
      <c r="C38" s="69"/>
      <c r="D38" s="60" t="s">
        <v>59</v>
      </c>
      <c r="E38" s="59"/>
    </row>
    <row r="39" ht="44" customHeight="1" spans="1:5">
      <c r="A39" s="61"/>
      <c r="B39" s="68" t="s">
        <v>60</v>
      </c>
      <c r="C39" s="69"/>
      <c r="D39" s="70" t="s">
        <v>61</v>
      </c>
      <c r="E39" s="59"/>
    </row>
    <row r="40" ht="22" customHeight="1" spans="1:5">
      <c r="A40" s="71"/>
      <c r="B40" s="54" t="s">
        <v>62</v>
      </c>
      <c r="C40" s="55"/>
      <c r="D40" s="72" t="s">
        <v>63</v>
      </c>
      <c r="E40" s="75"/>
    </row>
    <row r="41" s="31" customFormat="1" ht="104" customHeight="1" spans="1:5">
      <c r="A41" s="73" t="s">
        <v>64</v>
      </c>
      <c r="B41" s="74"/>
      <c r="C41" s="74"/>
      <c r="D41" s="74"/>
      <c r="E41" s="74"/>
    </row>
  </sheetData>
  <sheetProtection formatCells="0" insertHyperlinks="0" autoFilter="0"/>
  <mergeCells count="55">
    <mergeCell ref="A1:E1"/>
    <mergeCell ref="A2:E2"/>
    <mergeCell ref="A3:E3"/>
    <mergeCell ref="A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A25:E25"/>
    <mergeCell ref="B26:C26"/>
    <mergeCell ref="D26:E26"/>
    <mergeCell ref="D27:E27"/>
    <mergeCell ref="D29:E29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A41:E41"/>
    <mergeCell ref="A13:A24"/>
    <mergeCell ref="A26:A40"/>
    <mergeCell ref="B29:C31"/>
  </mergeCells>
  <dataValidations count="4">
    <dataValidation allowBlank="1" showInputMessage="1" showErrorMessage="1" sqref="B6"/>
    <dataValidation type="list" allowBlank="1" showInputMessage="1" showErrorMessage="1" sqref="B7 E8">
      <formula1>#REF!</formula1>
    </dataValidation>
    <dataValidation type="list" allowBlank="1" showInputMessage="1" showErrorMessage="1" sqref="B9:B11 B15:C17">
      <formula1>'B''CEBU价格表'!$A$3:$A$14</formula1>
    </dataValidation>
    <dataValidation type="list" allowBlank="1" showInputMessage="1" showErrorMessage="1" sqref="E9:E11 B18:C20">
      <formula1>'B''CEBU价格表'!$F$3:$F$10</formula1>
    </dataValidation>
  </dataValidations>
  <hyperlinks>
    <hyperlink ref="A3" r:id="rId1" display="微信/电话：13249827686  邮箱:startedu86@163.com" tooltip="mailto:muqingenglish@163.com"/>
  </hyperlinks>
  <pageMargins left="0.75" right="0.75" top="1" bottom="1" header="0.509027777777778" footer="0.509027777777778"/>
  <pageSetup paperSize="9" orientation="portrait"/>
  <headerFooter alignWithMargins="0" scaleWithDoc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showGridLines="0" zoomScale="85" zoomScaleNormal="85" topLeftCell="A26" workbookViewId="0">
      <selection activeCell="B40" sqref="$A27:$XFD41"/>
    </sheetView>
  </sheetViews>
  <sheetFormatPr defaultColWidth="9.64166666666667" defaultRowHeight="14.25" outlineLevelCol="6"/>
  <cols>
    <col min="1" max="1" width="12.0333333333333" style="31" customWidth="1"/>
    <col min="2" max="2" width="19.6333333333333" style="31" customWidth="1"/>
    <col min="3" max="3" width="23.0333333333333" style="31" customWidth="1"/>
    <col min="4" max="4" width="25.4916666666667" style="31" customWidth="1"/>
    <col min="5" max="5" width="20.3666666666667" style="32" customWidth="1"/>
    <col min="6" max="16384" width="9.91666666666667" style="31"/>
  </cols>
  <sheetData>
    <row r="1" ht="59.15" customHeight="1" spans="1:7">
      <c r="A1" s="33" t="s">
        <v>0</v>
      </c>
      <c r="B1" s="34"/>
      <c r="C1" s="34"/>
      <c r="D1" s="34"/>
      <c r="E1" s="34"/>
      <c r="F1" s="62"/>
      <c r="G1" s="62"/>
    </row>
    <row r="2" spans="1:7">
      <c r="A2" s="35"/>
      <c r="B2" s="35"/>
      <c r="C2" s="35"/>
      <c r="D2" s="35"/>
      <c r="E2" s="35"/>
      <c r="F2" s="63"/>
      <c r="G2" s="63"/>
    </row>
    <row r="3" spans="1:5">
      <c r="A3" s="36" t="s">
        <v>87</v>
      </c>
      <c r="B3" s="36"/>
      <c r="C3" s="36"/>
      <c r="D3" s="36"/>
      <c r="E3" s="36"/>
    </row>
    <row r="4" ht="8.15" customHeight="1" spans="1:5">
      <c r="A4" s="37"/>
      <c r="B4" s="37"/>
      <c r="C4" s="37"/>
      <c r="D4" s="37"/>
      <c r="E4" s="64"/>
    </row>
    <row r="5" s="31" customFormat="1" ht="4" customHeight="1" spans="1:5">
      <c r="A5" s="38" t="s">
        <v>2</v>
      </c>
      <c r="B5" s="39"/>
      <c r="C5" s="39"/>
      <c r="D5" s="40"/>
      <c r="E5" s="39"/>
    </row>
    <row r="6" ht="22" customHeight="1" spans="1:5">
      <c r="A6" s="41" t="s">
        <v>3</v>
      </c>
      <c r="B6" s="41" t="s">
        <v>4</v>
      </c>
      <c r="C6" s="42"/>
      <c r="D6" s="42" t="s">
        <v>5</v>
      </c>
      <c r="E6" s="65">
        <v>45341</v>
      </c>
    </row>
    <row r="7" ht="6" customHeight="1" spans="1:5">
      <c r="A7" s="43"/>
      <c r="B7" s="43"/>
      <c r="C7" s="44"/>
      <c r="D7" s="44"/>
      <c r="E7" s="66"/>
    </row>
    <row r="8" ht="22" customHeight="1" spans="1:5">
      <c r="A8" s="45" t="s">
        <v>71</v>
      </c>
      <c r="B8" s="41" t="s">
        <v>72</v>
      </c>
      <c r="C8" s="41" t="s">
        <v>73</v>
      </c>
      <c r="D8" s="42"/>
      <c r="E8" s="45" t="s">
        <v>74</v>
      </c>
    </row>
    <row r="9" ht="22" customHeight="1" spans="1:5">
      <c r="A9" s="46">
        <v>4</v>
      </c>
      <c r="B9" s="47" t="s">
        <v>88</v>
      </c>
      <c r="C9" s="47" t="str">
        <f>VLOOKUP(B9,'B''CEBU价格表'!A3:C14,3,FALSE)</f>
        <v>6节1:1 课程</v>
      </c>
      <c r="D9" s="42"/>
      <c r="E9" s="48" t="s">
        <v>9</v>
      </c>
    </row>
    <row r="10" ht="22" customHeight="1" spans="1:5">
      <c r="A10" s="46">
        <v>4</v>
      </c>
      <c r="B10" s="47" t="s">
        <v>88</v>
      </c>
      <c r="C10" s="47" t="str">
        <f>VLOOKUP(B10,'B''CEBU价格表'!A4:C14,3,FALSE)</f>
        <v>6节1:1 课程</v>
      </c>
      <c r="D10" s="48"/>
      <c r="E10" s="48" t="s">
        <v>9</v>
      </c>
    </row>
    <row r="11" ht="22" customHeight="1" spans="1:5">
      <c r="A11" s="46">
        <v>4</v>
      </c>
      <c r="B11" s="47" t="s">
        <v>12</v>
      </c>
      <c r="C11" s="47" t="str">
        <f>VLOOKUP(B11,'B''CEBU价格表'!A3:C123,3,FALSE)</f>
        <v>4节1:1课程+2节小组课程+2节晚课 (选修)</v>
      </c>
      <c r="D11" s="42"/>
      <c r="E11" s="48" t="s">
        <v>9</v>
      </c>
    </row>
    <row r="12" ht="24" customHeight="1" spans="1:5">
      <c r="A12" s="49" t="s">
        <v>14</v>
      </c>
      <c r="B12" s="49"/>
      <c r="C12" s="49"/>
      <c r="D12" s="49"/>
      <c r="E12" s="49"/>
    </row>
    <row r="13" ht="22" customHeight="1" spans="1:5">
      <c r="A13" s="50" t="s">
        <v>16</v>
      </c>
      <c r="B13" s="50" t="s">
        <v>17</v>
      </c>
      <c r="C13" s="50"/>
      <c r="D13" s="51" t="s">
        <v>18</v>
      </c>
      <c r="E13" s="52"/>
    </row>
    <row r="14" ht="22" customHeight="1" spans="1:5">
      <c r="A14" s="50"/>
      <c r="B14" s="50" t="s">
        <v>90</v>
      </c>
      <c r="C14" s="50"/>
      <c r="D14" s="51">
        <v>0</v>
      </c>
      <c r="E14" s="52"/>
    </row>
    <row r="15" ht="24" customHeight="1" spans="1:5">
      <c r="A15" s="50"/>
      <c r="B15" s="50" t="s">
        <v>88</v>
      </c>
      <c r="C15" s="50"/>
      <c r="D15" s="51">
        <f>VLOOKUP(B15,'B''CEBU价格表'!A4:B15,2,FALSE)*($A$9/4)</f>
        <v>1200</v>
      </c>
      <c r="E15" s="52"/>
    </row>
    <row r="16" ht="22" customHeight="1" spans="1:5">
      <c r="A16" s="50"/>
      <c r="B16" s="50" t="s">
        <v>88</v>
      </c>
      <c r="C16" s="50"/>
      <c r="D16" s="51">
        <f>VLOOKUP(B16,'B''CEBU价格表'!A4:B15,2,FALSE)*($A$10/4)</f>
        <v>1200</v>
      </c>
      <c r="E16" s="52"/>
    </row>
    <row r="17" ht="22" customHeight="1" spans="1:5">
      <c r="A17" s="50"/>
      <c r="B17" s="50" t="s">
        <v>12</v>
      </c>
      <c r="C17" s="50"/>
      <c r="D17" s="51">
        <f>VLOOKUP(B17,'B''CEBU价格表'!A3:C14,2,FALSE)*($A$11/4)</f>
        <v>850</v>
      </c>
      <c r="E17" s="52"/>
    </row>
    <row r="18" ht="22" customHeight="1" spans="1:5">
      <c r="A18" s="50"/>
      <c r="B18" s="50" t="s">
        <v>93</v>
      </c>
      <c r="C18" s="50"/>
      <c r="D18" s="51">
        <f>VLOOKUP(B18,'B''CEBU价格表'!A6:B17,2,FALSE)*($A$9/4)</f>
        <v>900</v>
      </c>
      <c r="E18" s="52"/>
    </row>
    <row r="19" ht="22" customHeight="1" spans="1:5">
      <c r="A19" s="50"/>
      <c r="B19" s="51" t="s">
        <v>9</v>
      </c>
      <c r="C19" s="52"/>
      <c r="D19" s="51">
        <f>VLOOKUP(B19,'B''CEBU价格表'!F3:G10,2,FALSE)*($A$9/4)</f>
        <v>700</v>
      </c>
      <c r="E19" s="52"/>
    </row>
    <row r="20" ht="22" customHeight="1" spans="1:5">
      <c r="A20" s="50"/>
      <c r="B20" s="51" t="s">
        <v>9</v>
      </c>
      <c r="C20" s="52"/>
      <c r="D20" s="51">
        <f>VLOOKUP(B20,'B''CEBU价格表'!F5:G10,2,FALSE)*($A$9/4)</f>
        <v>700</v>
      </c>
      <c r="E20" s="52"/>
    </row>
    <row r="21" ht="22" customHeight="1" spans="1:5">
      <c r="A21" s="50"/>
      <c r="B21" s="51" t="s">
        <v>9</v>
      </c>
      <c r="C21" s="52"/>
      <c r="D21" s="51">
        <f>VLOOKUP(B21,'B''CEBU价格表'!F6:G13,2,FALSE)*($A$9/4)</f>
        <v>700</v>
      </c>
      <c r="E21" s="52"/>
    </row>
    <row r="22" ht="22" customHeight="1" spans="1:5">
      <c r="A22" s="50"/>
      <c r="B22" s="53" t="s">
        <v>25</v>
      </c>
      <c r="C22" s="53"/>
      <c r="D22" s="54">
        <f>SUM(D14:E21)</f>
        <v>6250</v>
      </c>
      <c r="E22" s="55"/>
    </row>
    <row r="23" ht="22" customHeight="1" spans="1:5">
      <c r="A23" s="50"/>
      <c r="B23" s="54" t="s">
        <v>91</v>
      </c>
      <c r="C23" s="55"/>
      <c r="D23" s="54">
        <v>300</v>
      </c>
      <c r="E23" s="55"/>
    </row>
    <row r="24" ht="22" customHeight="1" spans="1:6">
      <c r="A24" s="50"/>
      <c r="B24" s="54" t="s">
        <v>94</v>
      </c>
      <c r="C24" s="55"/>
      <c r="D24" s="54">
        <v>0.9</v>
      </c>
      <c r="E24" s="55"/>
      <c r="F24" s="31">
        <f>(D22-D14-D23)*D24+D14</f>
        <v>5355</v>
      </c>
    </row>
    <row r="25" ht="22" customHeight="1" spans="1:5">
      <c r="A25" s="50"/>
      <c r="B25" s="53" t="s">
        <v>32</v>
      </c>
      <c r="C25" s="53"/>
      <c r="D25" s="56" t="s">
        <v>95</v>
      </c>
      <c r="E25" s="67"/>
    </row>
    <row r="26" ht="26.15" customHeight="1" spans="1:5">
      <c r="A26" s="49" t="s">
        <v>34</v>
      </c>
      <c r="B26" s="49"/>
      <c r="C26" s="49"/>
      <c r="D26" s="49"/>
      <c r="E26" s="49"/>
    </row>
    <row r="27" ht="22" customHeight="1" spans="1:5">
      <c r="A27" s="57" t="s">
        <v>35</v>
      </c>
      <c r="B27" s="58" t="s">
        <v>36</v>
      </c>
      <c r="C27" s="59"/>
      <c r="D27" s="60" t="s">
        <v>37</v>
      </c>
      <c r="E27" s="59"/>
    </row>
    <row r="28" ht="22" customHeight="1" spans="1:5">
      <c r="A28" s="61"/>
      <c r="B28" s="58" t="s">
        <v>38</v>
      </c>
      <c r="C28" s="59"/>
      <c r="D28" s="60" t="s">
        <v>39</v>
      </c>
      <c r="E28" s="59"/>
    </row>
    <row r="29" ht="22" customHeight="1" spans="1:5">
      <c r="A29" s="61"/>
      <c r="B29" s="58" t="s">
        <v>40</v>
      </c>
      <c r="C29" s="59"/>
      <c r="D29" s="60" t="s">
        <v>41</v>
      </c>
      <c r="E29" s="59"/>
    </row>
    <row r="30" ht="22" customHeight="1" spans="1:5">
      <c r="A30" s="61"/>
      <c r="B30" s="58" t="s">
        <v>42</v>
      </c>
      <c r="C30" s="59"/>
      <c r="D30" s="60" t="s">
        <v>43</v>
      </c>
      <c r="E30" s="59"/>
    </row>
    <row r="31" ht="22" customHeight="1" spans="1:5">
      <c r="A31" s="61"/>
      <c r="B31" s="58"/>
      <c r="C31" s="59"/>
      <c r="D31" s="60" t="s">
        <v>44</v>
      </c>
      <c r="E31" s="59"/>
    </row>
    <row r="32" ht="22" customHeight="1" spans="1:5">
      <c r="A32" s="61"/>
      <c r="B32" s="58"/>
      <c r="C32" s="59"/>
      <c r="D32" s="60" t="s">
        <v>45</v>
      </c>
      <c r="E32" s="59"/>
    </row>
    <row r="33" ht="22" customHeight="1" spans="1:5">
      <c r="A33" s="61"/>
      <c r="B33" s="58" t="s">
        <v>46</v>
      </c>
      <c r="C33" s="59"/>
      <c r="D33" s="60" t="s">
        <v>47</v>
      </c>
      <c r="E33" s="59"/>
    </row>
    <row r="34" ht="22" customHeight="1" spans="1:5">
      <c r="A34" s="61"/>
      <c r="B34" s="58" t="s">
        <v>48</v>
      </c>
      <c r="C34" s="59"/>
      <c r="D34" s="60" t="s">
        <v>49</v>
      </c>
      <c r="E34" s="59"/>
    </row>
    <row r="35" ht="22" customHeight="1" spans="1:5">
      <c r="A35" s="61"/>
      <c r="B35" s="68" t="s">
        <v>50</v>
      </c>
      <c r="C35" s="59"/>
      <c r="D35" s="60" t="s">
        <v>51</v>
      </c>
      <c r="E35" s="59"/>
    </row>
    <row r="36" ht="22" customHeight="1" spans="1:5">
      <c r="A36" s="61"/>
      <c r="B36" s="68" t="s">
        <v>52</v>
      </c>
      <c r="C36" s="69"/>
      <c r="D36" s="60" t="s">
        <v>53</v>
      </c>
      <c r="E36" s="59"/>
    </row>
    <row r="37" ht="22" customHeight="1" spans="1:5">
      <c r="A37" s="61"/>
      <c r="B37" s="68" t="s">
        <v>54</v>
      </c>
      <c r="C37" s="69"/>
      <c r="D37" s="60" t="s">
        <v>55</v>
      </c>
      <c r="E37" s="59"/>
    </row>
    <row r="38" ht="22" customHeight="1" spans="1:5">
      <c r="A38" s="61"/>
      <c r="B38" s="68" t="s">
        <v>56</v>
      </c>
      <c r="C38" s="69"/>
      <c r="D38" s="60" t="s">
        <v>57</v>
      </c>
      <c r="E38" s="59"/>
    </row>
    <row r="39" ht="22" customHeight="1" spans="1:5">
      <c r="A39" s="61"/>
      <c r="B39" s="68" t="s">
        <v>58</v>
      </c>
      <c r="C39" s="69"/>
      <c r="D39" s="60" t="s">
        <v>59</v>
      </c>
      <c r="E39" s="59"/>
    </row>
    <row r="40" ht="44" customHeight="1" spans="1:5">
      <c r="A40" s="61"/>
      <c r="B40" s="68" t="s">
        <v>60</v>
      </c>
      <c r="C40" s="69"/>
      <c r="D40" s="70" t="s">
        <v>61</v>
      </c>
      <c r="E40" s="59"/>
    </row>
    <row r="41" ht="22" customHeight="1" spans="1:5">
      <c r="A41" s="71"/>
      <c r="B41" s="54" t="s">
        <v>62</v>
      </c>
      <c r="C41" s="55"/>
      <c r="D41" s="72" t="s">
        <v>63</v>
      </c>
      <c r="E41" s="75"/>
    </row>
    <row r="42" s="31" customFormat="1" ht="104" customHeight="1" spans="1:5">
      <c r="A42" s="73" t="s">
        <v>64</v>
      </c>
      <c r="B42" s="74"/>
      <c r="C42" s="74"/>
      <c r="D42" s="74"/>
      <c r="E42" s="74"/>
    </row>
  </sheetData>
  <sheetProtection formatCells="0" insertHyperlinks="0" autoFilter="0"/>
  <mergeCells count="57">
    <mergeCell ref="A1:E1"/>
    <mergeCell ref="A2:E2"/>
    <mergeCell ref="A3:E3"/>
    <mergeCell ref="A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A26:E26"/>
    <mergeCell ref="B27:C27"/>
    <mergeCell ref="D27:E27"/>
    <mergeCell ref="D28:E28"/>
    <mergeCell ref="D30:E30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A42:E42"/>
    <mergeCell ref="A13:A25"/>
    <mergeCell ref="A27:A41"/>
    <mergeCell ref="B30:C32"/>
  </mergeCells>
  <dataValidations count="4">
    <dataValidation allowBlank="1" showInputMessage="1" showErrorMessage="1" sqref="B6"/>
    <dataValidation type="list" allowBlank="1" showInputMessage="1" showErrorMessage="1" sqref="B7 E8">
      <formula1>#REF!</formula1>
    </dataValidation>
    <dataValidation type="list" allowBlank="1" showInputMessage="1" showErrorMessage="1" sqref="B9:B11 B15:C18">
      <formula1>'B''CEBU价格表'!$A$3:$A$14</formula1>
    </dataValidation>
    <dataValidation type="list" allowBlank="1" showInputMessage="1" showErrorMessage="1" sqref="E9:E11 B19:C21">
      <formula1>'B''CEBU价格表'!$F$3:$F$10</formula1>
    </dataValidation>
  </dataValidations>
  <hyperlinks>
    <hyperlink ref="A3" r:id="rId1" display="微信/电话：13249827686  邮箱:startedu86@163.com" tooltip="mailto:muqingenglish@163.com"/>
  </hyperlinks>
  <pageMargins left="0.75" right="0.75" top="1" bottom="1" header="0.509027777777778" footer="0.509027777777778"/>
  <pageSetup paperSize="9" orientation="portrait"/>
  <headerFooter alignWithMargins="0" scaleWithDoc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opLeftCell="A5" workbookViewId="0">
      <selection activeCell="H5" sqref="H5"/>
    </sheetView>
  </sheetViews>
  <sheetFormatPr defaultColWidth="9.64166666666667" defaultRowHeight="16.5"/>
  <cols>
    <col min="1" max="1" width="20" style="2" customWidth="1"/>
    <col min="2" max="2" width="9.13333333333333" style="2" customWidth="1"/>
    <col min="3" max="3" width="58.0166666666667" style="2" customWidth="1"/>
    <col min="4" max="4" width="47.85" style="2" customWidth="1"/>
    <col min="5" max="5" width="6.2" style="2" customWidth="1"/>
    <col min="6" max="6" width="24.45" style="2" customWidth="1"/>
    <col min="7" max="7" width="9.13333333333333" style="2" customWidth="1"/>
    <col min="8" max="8" width="9.38333333333333" style="3" customWidth="1"/>
    <col min="9" max="9" width="30.4166666666667" style="3" customWidth="1"/>
    <col min="10" max="16384" width="9.64166666666667" style="2"/>
  </cols>
  <sheetData>
    <row r="1" ht="31.5" customHeight="1" spans="1:9">
      <c r="A1" s="4" t="s">
        <v>96</v>
      </c>
      <c r="B1" s="4"/>
      <c r="C1" s="4"/>
      <c r="D1" s="4"/>
      <c r="E1" s="16"/>
      <c r="F1" s="17" t="s">
        <v>97</v>
      </c>
      <c r="G1" s="18"/>
      <c r="H1" s="18"/>
      <c r="I1" s="28"/>
    </row>
    <row r="2" ht="37" customHeight="1" spans="1:9">
      <c r="A2" s="5" t="s">
        <v>20</v>
      </c>
      <c r="B2" s="6" t="s">
        <v>98</v>
      </c>
      <c r="C2" s="6"/>
      <c r="D2" s="6"/>
      <c r="E2" s="16"/>
      <c r="F2" s="5" t="s">
        <v>20</v>
      </c>
      <c r="G2" s="19" t="s">
        <v>98</v>
      </c>
      <c r="H2" s="20"/>
      <c r="I2" s="29"/>
    </row>
    <row r="3" ht="38" customHeight="1" spans="1:9">
      <c r="A3" s="7" t="s">
        <v>72</v>
      </c>
      <c r="B3" s="8" t="s">
        <v>99</v>
      </c>
      <c r="C3" s="7" t="s">
        <v>73</v>
      </c>
      <c r="D3" s="9" t="s">
        <v>100</v>
      </c>
      <c r="E3" s="16"/>
      <c r="F3" s="7" t="s">
        <v>101</v>
      </c>
      <c r="G3" s="8" t="s">
        <v>102</v>
      </c>
      <c r="H3" s="21" t="s">
        <v>100</v>
      </c>
      <c r="I3" s="21"/>
    </row>
    <row r="4" ht="32" customHeight="1" spans="1:9">
      <c r="A4" s="10" t="s">
        <v>12</v>
      </c>
      <c r="B4" s="11">
        <v>850</v>
      </c>
      <c r="C4" s="10" t="s">
        <v>103</v>
      </c>
      <c r="D4" s="10" t="s">
        <v>104</v>
      </c>
      <c r="E4" s="16"/>
      <c r="F4" s="22" t="s">
        <v>105</v>
      </c>
      <c r="G4" s="23">
        <v>1350</v>
      </c>
      <c r="H4" s="23"/>
      <c r="I4" s="23"/>
    </row>
    <row r="5" ht="32" customHeight="1" spans="1:9">
      <c r="A5" s="12" t="s">
        <v>106</v>
      </c>
      <c r="B5" s="11">
        <v>1000</v>
      </c>
      <c r="C5" s="10" t="s">
        <v>107</v>
      </c>
      <c r="D5" s="10" t="s">
        <v>108</v>
      </c>
      <c r="E5" s="16"/>
      <c r="F5" s="12" t="s">
        <v>65</v>
      </c>
      <c r="G5" s="11">
        <v>1300</v>
      </c>
      <c r="H5" s="11"/>
      <c r="I5" s="11"/>
    </row>
    <row r="6" ht="25" customHeight="1" spans="1:9">
      <c r="A6" s="12" t="s">
        <v>66</v>
      </c>
      <c r="B6" s="11">
        <v>950</v>
      </c>
      <c r="C6" s="12" t="s">
        <v>109</v>
      </c>
      <c r="D6" s="10" t="s">
        <v>110</v>
      </c>
      <c r="E6" s="16"/>
      <c r="F6" s="12" t="s">
        <v>111</v>
      </c>
      <c r="G6" s="11">
        <v>900</v>
      </c>
      <c r="H6" s="11"/>
      <c r="I6" s="11"/>
    </row>
    <row r="7" ht="25" customHeight="1" spans="1:9">
      <c r="A7" s="12" t="s">
        <v>76</v>
      </c>
      <c r="B7" s="11">
        <v>1000</v>
      </c>
      <c r="C7" s="12" t="s">
        <v>112</v>
      </c>
      <c r="D7" s="10"/>
      <c r="E7" s="16"/>
      <c r="F7" s="12" t="s">
        <v>113</v>
      </c>
      <c r="G7" s="11">
        <v>1200</v>
      </c>
      <c r="H7" s="11"/>
      <c r="I7" s="11"/>
    </row>
    <row r="8" ht="32" customHeight="1" spans="1:9">
      <c r="A8" s="12" t="s">
        <v>77</v>
      </c>
      <c r="B8" s="11">
        <v>1100</v>
      </c>
      <c r="C8" s="12" t="s">
        <v>109</v>
      </c>
      <c r="D8" s="10" t="s">
        <v>114</v>
      </c>
      <c r="E8" s="16"/>
      <c r="F8" s="12" t="s">
        <v>115</v>
      </c>
      <c r="G8" s="11">
        <v>700</v>
      </c>
      <c r="H8" s="11" t="s">
        <v>116</v>
      </c>
      <c r="I8" s="30" t="s">
        <v>117</v>
      </c>
    </row>
    <row r="9" ht="32" customHeight="1" spans="1:9">
      <c r="A9" s="12" t="s">
        <v>75</v>
      </c>
      <c r="B9" s="11">
        <v>1000</v>
      </c>
      <c r="C9" s="12" t="s">
        <v>118</v>
      </c>
      <c r="D9" s="10" t="s">
        <v>119</v>
      </c>
      <c r="E9" s="16"/>
      <c r="F9" s="12" t="s">
        <v>120</v>
      </c>
      <c r="G9" s="11">
        <v>850</v>
      </c>
      <c r="H9" s="11" t="s">
        <v>121</v>
      </c>
      <c r="I9" s="30"/>
    </row>
    <row r="10" ht="32" customHeight="1" spans="1:9">
      <c r="A10" s="12" t="s">
        <v>122</v>
      </c>
      <c r="B10" s="11">
        <v>1000</v>
      </c>
      <c r="C10" s="12" t="s">
        <v>123</v>
      </c>
      <c r="D10" s="10"/>
      <c r="E10" s="16"/>
      <c r="F10" s="12" t="s">
        <v>9</v>
      </c>
      <c r="G10" s="11">
        <v>700</v>
      </c>
      <c r="H10" s="11" t="s">
        <v>116</v>
      </c>
      <c r="I10" s="30"/>
    </row>
    <row r="11" ht="32" customHeight="1" spans="1:6">
      <c r="A11" s="12" t="s">
        <v>88</v>
      </c>
      <c r="B11" s="11">
        <v>1200</v>
      </c>
      <c r="C11" s="12" t="s">
        <v>124</v>
      </c>
      <c r="D11" s="10" t="s">
        <v>125</v>
      </c>
      <c r="E11" s="16"/>
      <c r="F11" s="24" t="s">
        <v>126</v>
      </c>
    </row>
    <row r="12" ht="32" customHeight="1" spans="1:5">
      <c r="A12" s="12" t="s">
        <v>127</v>
      </c>
      <c r="B12" s="11">
        <v>700</v>
      </c>
      <c r="C12" s="12" t="s">
        <v>128</v>
      </c>
      <c r="D12" s="10" t="s">
        <v>129</v>
      </c>
      <c r="E12" s="16"/>
    </row>
    <row r="13" ht="32" customHeight="1" spans="1:9">
      <c r="A13" s="12" t="s">
        <v>89</v>
      </c>
      <c r="B13" s="11">
        <v>350</v>
      </c>
      <c r="C13" s="12" t="s">
        <v>130</v>
      </c>
      <c r="D13" s="10" t="s">
        <v>131</v>
      </c>
      <c r="E13" s="16"/>
      <c r="G13" s="24"/>
      <c r="H13" s="25"/>
      <c r="I13" s="25"/>
    </row>
    <row r="14" ht="32" customHeight="1" spans="1:9">
      <c r="A14" s="12" t="s">
        <v>93</v>
      </c>
      <c r="B14" s="11">
        <v>900</v>
      </c>
      <c r="C14" s="12" t="s">
        <v>132</v>
      </c>
      <c r="D14" s="10" t="s">
        <v>133</v>
      </c>
      <c r="E14" s="16"/>
      <c r="F14" s="24"/>
      <c r="G14" s="24"/>
      <c r="H14" s="25"/>
      <c r="I14" s="25"/>
    </row>
    <row r="16" s="1" customFormat="1" ht="351" customHeight="1" spans="1:9">
      <c r="A16" s="13" t="s">
        <v>134</v>
      </c>
      <c r="B16" s="13"/>
      <c r="C16" s="13"/>
      <c r="D16" s="14"/>
      <c r="F16" s="26" t="s">
        <v>135</v>
      </c>
      <c r="G16" s="26"/>
      <c r="H16" s="26"/>
      <c r="I16" s="26"/>
    </row>
    <row r="17" ht="17.25" spans="1:9">
      <c r="A17" s="15"/>
      <c r="B17" s="15"/>
      <c r="F17" s="27"/>
      <c r="G17" s="27"/>
      <c r="H17" s="27"/>
      <c r="I17" s="27"/>
    </row>
    <row r="18" ht="17.25" spans="6:9">
      <c r="F18" s="27"/>
      <c r="G18" s="27"/>
      <c r="H18" s="27"/>
      <c r="I18" s="27"/>
    </row>
    <row r="19" ht="17.25" spans="6:9">
      <c r="F19" s="27"/>
      <c r="G19" s="27"/>
      <c r="H19" s="27"/>
      <c r="I19" s="27"/>
    </row>
    <row r="20" ht="17.25" spans="6:9">
      <c r="F20" s="27"/>
      <c r="G20" s="27"/>
      <c r="H20" s="27"/>
      <c r="I20" s="27"/>
    </row>
    <row r="21" ht="17.25" spans="6:9">
      <c r="F21" s="27"/>
      <c r="G21" s="27"/>
      <c r="H21" s="27"/>
      <c r="I21" s="27"/>
    </row>
    <row r="22" ht="17.25" spans="6:9">
      <c r="F22" s="27"/>
      <c r="G22" s="27"/>
      <c r="H22" s="27"/>
      <c r="I22" s="27"/>
    </row>
    <row r="23" ht="17.25" spans="6:9">
      <c r="F23" s="27"/>
      <c r="G23" s="27"/>
      <c r="H23" s="27"/>
      <c r="I23" s="27"/>
    </row>
    <row r="24" ht="17.25" spans="6:9">
      <c r="F24" s="27"/>
      <c r="G24" s="27"/>
      <c r="H24" s="27"/>
      <c r="I24" s="27"/>
    </row>
    <row r="25" ht="17.25" spans="6:9">
      <c r="F25" s="27"/>
      <c r="G25" s="27"/>
      <c r="H25" s="27"/>
      <c r="I25" s="27"/>
    </row>
    <row r="26" ht="17.25" spans="6:9">
      <c r="F26" s="27"/>
      <c r="G26" s="27"/>
      <c r="H26" s="27"/>
      <c r="I26" s="27"/>
    </row>
    <row r="27" ht="17.25" spans="6:9">
      <c r="F27" s="27"/>
      <c r="G27" s="27"/>
      <c r="H27" s="27"/>
      <c r="I27" s="27"/>
    </row>
    <row r="28" ht="17.25" spans="6:9">
      <c r="F28" s="27"/>
      <c r="G28" s="27"/>
      <c r="H28" s="27"/>
      <c r="I28" s="27"/>
    </row>
  </sheetData>
  <sheetProtection formatCells="0" insertHyperlinks="0" autoFilter="0"/>
  <mergeCells count="6">
    <mergeCell ref="A1:D1"/>
    <mergeCell ref="F1:I1"/>
    <mergeCell ref="B2:D2"/>
    <mergeCell ref="G2:I2"/>
    <mergeCell ref="A16:C16"/>
    <mergeCell ref="F16:I16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3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255471719812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3"/>
  <pixelatorList sheetStid="8"/>
  <pixelatorList sheetStid="4"/>
  <pixelatorList sheetStid="5"/>
  <pixelatorList sheetStid="7"/>
  <pixelatorList sheetStid="2"/>
  <pixelatorList sheetStid="9"/>
</pixelators>
</file>

<file path=customXml/item3.xml><?xml version="1.0" encoding="utf-8"?>
<independentViews xmlns="https://web.wps.cn/et/2018/main"/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A02B7E37-CEC0-4786-9FA4-411A3DC5961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WWO_wpscloud_20250821175036-ffea781686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BECI宿务单课程报价单</vt:lpstr>
      <vt:lpstr>BECI宿务单课程寒暑假</vt:lpstr>
      <vt:lpstr>2种课程同时BECI报价单</vt:lpstr>
      <vt:lpstr>3种课程同时BECI报价单</vt:lpstr>
      <vt:lpstr>4种课程同时BECI报价单</vt:lpstr>
      <vt:lpstr>B'CEBU价格表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iPhone</cp:lastModifiedBy>
  <dcterms:created xsi:type="dcterms:W3CDTF">2023-08-26T07:02:00Z</dcterms:created>
  <dcterms:modified xsi:type="dcterms:W3CDTF">2025-08-10T03:45:00Z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D9D7FB2616EE438C864C3A7D5FD1A522_11</vt:lpwstr>
  </property>
  <property fmtid="{D5CDD505-2E9C-101B-9397-08002B2CF9AE}" pid="3" name="KSOProductBuildVer">
    <vt:lpwstr>2052-12.9.0.22557</vt:lpwstr>
  </property>
  <property fmtid="{D5CDD505-2E9C-101B-9397-08002B2CF9AE}" pid="4" name="KSOReadingLayout">
    <vt:bool>true</vt:bool>
  </property>
</Properties>
</file>