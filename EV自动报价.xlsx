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EV报价单-单课程" sheetId="1" r:id="rId1"/>
    <sheet name="EV报价单-青少年单课程" sheetId="2" r:id="rId2"/>
    <sheet name="EV报价单-2种课程" sheetId="3" r:id="rId3"/>
    <sheet name="EV报价单-3种课程" sheetId="4" r:id="rId4"/>
    <sheet name="EV价格明细" sheetId="5" r:id="rId5"/>
    <sheet name="EV报价单-单课程 (2)" sheetId="8" r:id="rId6"/>
    <sheet name="不要用这个表格" sheetId="6" state="hidden" r:id="rId7"/>
    <sheet name="不要用这个表格 (2)" sheetId="7" state="hidden" r:id="rId8"/>
  </sheets>
  <definedNames>
    <definedName name="_xlnm.Print_Area" localSheetId="0">'EV报价单-单课程'!$A$1:$E$34</definedName>
    <definedName name="_xlnm.Print_Area" localSheetId="2">'EV报价单-2种课程'!$A$1:$E$36</definedName>
    <definedName name="_xlnm.Print_Area" localSheetId="3">'EV报价单-3种课程'!$A$1:$E$40</definedName>
    <definedName name="_xlnm.Print_Area" localSheetId="1">'EV报价单-青少年单课程'!$A$1:$E$34</definedName>
    <definedName name="_xlnm.Print_Area" localSheetId="6">不要用这个表格!$A$1:$E$34</definedName>
    <definedName name="_xlnm.Print_Area" localSheetId="7">'不要用这个表格 (2)'!$A$1:$E$34</definedName>
    <definedName name="_xlnm.Print_Area" localSheetId="5">'EV报价单-单课程 (2)'!$A$1:$E$34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<sst xmlns="http://schemas.openxmlformats.org/spreadsheetml/2006/main" count="440" uniqueCount="148">
  <si>
    <t xml:space="preserve">   菲律宾游学</t>
  </si>
  <si>
    <t>微信/电话：13249827686  邮箱: startedu86@163.com</t>
  </si>
  <si>
    <t xml:space="preserve"> </t>
  </si>
  <si>
    <t>学校：</t>
  </si>
  <si>
    <t>EV</t>
  </si>
  <si>
    <t>报价日期：</t>
  </si>
  <si>
    <t>上课周数：</t>
  </si>
  <si>
    <t>宿舍：</t>
  </si>
  <si>
    <t>四人间（上下铺）</t>
  </si>
  <si>
    <t>课程安排：</t>
  </si>
  <si>
    <t>常规雅思（斯巴达）</t>
  </si>
  <si>
    <t>1、学费（包含注册费、课程费、住宿费、餐费）</t>
  </si>
  <si>
    <t>学费</t>
  </si>
  <si>
    <t>项目</t>
  </si>
  <si>
    <t>价格/美元</t>
  </si>
  <si>
    <t>注册费/老学员免注册费</t>
  </si>
  <si>
    <r>
      <rPr>
        <sz val="12"/>
        <rFont val="微软雅黑"/>
        <charset val="134"/>
      </rPr>
      <t xml:space="preserve">暑期附加费
</t>
    </r>
    <r>
      <rPr>
        <sz val="10"/>
        <color rgb="FFFF0000"/>
        <rFont val="微软雅黑"/>
        <charset val="134"/>
      </rPr>
      <t>2026/7/5~8/29就读，40美元/周</t>
    </r>
  </si>
  <si>
    <t>每周40美元</t>
  </si>
  <si>
    <r>
      <rPr>
        <sz val="12"/>
        <rFont val="微软雅黑"/>
        <charset val="134"/>
      </rPr>
      <t xml:space="preserve">青少年管理费
</t>
    </r>
    <r>
      <rPr>
        <sz val="10"/>
        <rFont val="微软雅黑"/>
        <charset val="134"/>
      </rPr>
      <t>未满18周岁，100美元4周</t>
    </r>
  </si>
  <si>
    <t>原价总计</t>
  </si>
  <si>
    <t>思达折扣（课程费+食宿费）</t>
  </si>
  <si>
    <t>折后价（美元汇率以实时汇率为准）</t>
  </si>
  <si>
    <t>5686美元(约人民币40646元）</t>
  </si>
  <si>
    <r>
      <rPr>
        <b/>
        <sz val="12"/>
        <rFont val="微软雅黑"/>
        <charset val="134"/>
      </rPr>
      <t>2、学杂费（即到学校后会产生的当地费用，</t>
    </r>
    <r>
      <rPr>
        <b/>
        <sz val="12"/>
        <color rgb="FFFF0000"/>
        <rFont val="微软雅黑"/>
        <charset val="134"/>
      </rPr>
      <t>和思达游学无关，以到校为准仅供参考</t>
    </r>
    <r>
      <rPr>
        <b/>
        <sz val="12"/>
        <rFont val="微软雅黑"/>
        <charset val="134"/>
      </rPr>
      <t>）</t>
    </r>
  </si>
  <si>
    <t xml:space="preserve">学杂费
</t>
  </si>
  <si>
    <r>
      <rPr>
        <sz val="12"/>
        <rFont val="微软雅黑"/>
        <charset val="134"/>
      </rPr>
      <t>1、SSP特殊学习许可证</t>
    </r>
    <r>
      <rPr>
        <sz val="9"/>
        <rFont val="微软雅黑"/>
        <charset val="134"/>
      </rPr>
      <t>（6个月有效期）</t>
    </r>
  </si>
  <si>
    <r>
      <rPr>
        <sz val="12"/>
        <rFont val="微软雅黑"/>
        <charset val="134"/>
      </rPr>
      <t>P7800/</t>
    </r>
    <r>
      <rPr>
        <sz val="9.5"/>
        <rFont val="微软雅黑"/>
        <charset val="134"/>
      </rPr>
      <t>(同学习时间一样续费需要重新办理)</t>
    </r>
  </si>
  <si>
    <r>
      <rPr>
        <sz val="12"/>
        <rFont val="微软雅黑"/>
        <charset val="134"/>
      </rPr>
      <t>2、SSP E-CARD</t>
    </r>
    <r>
      <rPr>
        <sz val="9"/>
        <rFont val="微软雅黑"/>
        <charset val="134"/>
      </rPr>
      <t>（1年有效期）</t>
    </r>
  </si>
  <si>
    <t>P4500</t>
  </si>
  <si>
    <r>
      <rPr>
        <sz val="12"/>
        <rFont val="微软雅黑"/>
        <charset val="134"/>
      </rPr>
      <t>3、ACR I-CARD</t>
    </r>
    <r>
      <rPr>
        <sz val="9"/>
        <rFont val="微软雅黑"/>
        <charset val="134"/>
      </rPr>
      <t>（1年有效期）</t>
    </r>
  </si>
  <si>
    <r>
      <rPr>
        <sz val="12"/>
        <rFont val="微软雅黑"/>
        <charset val="134"/>
      </rPr>
      <t>P3500</t>
    </r>
    <r>
      <rPr>
        <sz val="9.5"/>
        <rFont val="微软雅黑"/>
        <charset val="134"/>
      </rPr>
      <t>（续签需要办理）</t>
    </r>
  </si>
  <si>
    <t>4、续签费用</t>
  </si>
  <si>
    <t>第一次续签P5130</t>
  </si>
  <si>
    <t>第二次续签P6400</t>
  </si>
  <si>
    <t>第三次续签P4430</t>
  </si>
  <si>
    <t>5、住宿费押金</t>
  </si>
  <si>
    <t>P3000/4周</t>
  </si>
  <si>
    <t>6、水电费</t>
  </si>
  <si>
    <t>约P3200/4周</t>
  </si>
  <si>
    <t>8、宿务马克坦机场接机费</t>
  </si>
  <si>
    <t>P1200/人</t>
  </si>
  <si>
    <t>9、管理费</t>
  </si>
  <si>
    <t>校内P2000/4周，校外P4000/4周</t>
  </si>
  <si>
    <t>10、书本费</t>
  </si>
  <si>
    <t>根据实际情况</t>
  </si>
  <si>
    <t>11、ID-CARD</t>
  </si>
  <si>
    <t>P500</t>
  </si>
  <si>
    <t>总计（直接交给学校的）</t>
  </si>
  <si>
    <r>
      <rPr>
        <sz val="12"/>
        <rFont val="微软雅黑"/>
        <charset val="134"/>
      </rPr>
      <t>约2700元人民币以上/4周/人</t>
    </r>
    <r>
      <rPr>
        <sz val="9"/>
        <rFont val="微软雅黑"/>
        <charset val="134"/>
      </rPr>
      <t>（不含押金）</t>
    </r>
  </si>
  <si>
    <t>说明：
1、学费部分由游学机构代收或直接到校支付给学校，我们的报价单上就是最终价格，支付时按照支付宝实时汇率，把美元换算为人民币结算。
2、学杂费是到菲律宾当地需要交纳的费用，是学校直接收取的，我们的报价只作为参考，具体以学校收取的为准。</t>
  </si>
  <si>
    <t>双人间</t>
  </si>
  <si>
    <t>斯巴达 Intensive ESL</t>
  </si>
  <si>
    <t>注册费</t>
  </si>
  <si>
    <t>青少年管理费（未满18周岁）100美元4周</t>
  </si>
  <si>
    <r>
      <rPr>
        <sz val="12"/>
        <rFont val="微软雅黑"/>
        <charset val="134"/>
      </rPr>
      <t>暑期附加费</t>
    </r>
    <r>
      <rPr>
        <sz val="10"/>
        <rFont val="微软雅黑"/>
        <charset val="134"/>
      </rPr>
      <t>（07/07~08/30就读）</t>
    </r>
  </si>
  <si>
    <t>折扣</t>
  </si>
  <si>
    <t>折后价</t>
  </si>
  <si>
    <t>3439美元（约24776元人民币）</t>
  </si>
  <si>
    <r>
      <rPr>
        <sz val="12"/>
        <rFont val="微软雅黑"/>
        <charset val="134"/>
      </rPr>
      <t>2、学杂费（即到学校后会产生的当地费用，</t>
    </r>
    <r>
      <rPr>
        <sz val="12"/>
        <color rgb="FFFF0000"/>
        <rFont val="微软雅黑"/>
        <charset val="134"/>
      </rPr>
      <t>和思达游学无关，以到校为准仅供参考</t>
    </r>
    <r>
      <rPr>
        <sz val="12"/>
        <rFont val="微软雅黑"/>
        <charset val="134"/>
      </rPr>
      <t>）</t>
    </r>
  </si>
  <si>
    <t>上课周数</t>
  </si>
  <si>
    <t>课程名称</t>
  </si>
  <si>
    <t>课程安排</t>
  </si>
  <si>
    <t>宿舍</t>
  </si>
  <si>
    <t>强化口说6（半斯巴达）</t>
  </si>
  <si>
    <r>
      <rPr>
        <sz val="12"/>
        <rFont val="微软雅黑"/>
        <charset val="134"/>
      </rPr>
      <t xml:space="preserve">青少年管理费
</t>
    </r>
    <r>
      <rPr>
        <sz val="8"/>
        <rFont val="微软雅黑"/>
        <charset val="134"/>
      </rPr>
      <t>（未满18周岁）100美元4周</t>
    </r>
  </si>
  <si>
    <r>
      <rPr>
        <sz val="12"/>
        <rFont val="微软雅黑"/>
        <charset val="134"/>
      </rPr>
      <t xml:space="preserve">暑期附加费
</t>
    </r>
    <r>
      <rPr>
        <sz val="8"/>
        <rFont val="微软雅黑"/>
        <charset val="134"/>
      </rPr>
      <t>（07/07~08/30就读，40美元/周）</t>
    </r>
  </si>
  <si>
    <t>1911美元（约人民币13671元）</t>
  </si>
  <si>
    <t>四人间</t>
  </si>
  <si>
    <t>商务英语（斯巴达）</t>
  </si>
  <si>
    <r>
      <rPr>
        <sz val="12"/>
        <rFont val="微软雅黑"/>
        <charset val="134"/>
      </rPr>
      <t>暑期附加费</t>
    </r>
    <r>
      <rPr>
        <sz val="10"/>
        <rFont val="微软雅黑"/>
        <charset val="134"/>
      </rPr>
      <t>（07/07~08/30(就读）</t>
    </r>
  </si>
  <si>
    <t>5041美元（约36583元人民币）</t>
  </si>
  <si>
    <t>EV 2025年课程费</t>
  </si>
  <si>
    <t>EV 2025年食宿费</t>
  </si>
  <si>
    <t>校区</t>
  </si>
  <si>
    <t>100美元</t>
  </si>
  <si>
    <t>宿务EV</t>
  </si>
  <si>
    <t>斯巴达课程名称</t>
  </si>
  <si>
    <t>课程价格
4周+美元</t>
  </si>
  <si>
    <t>备注</t>
  </si>
  <si>
    <t>房间类型</t>
  </si>
  <si>
    <t>房间价格
4周+美元</t>
  </si>
  <si>
    <t>宿务EV斯巴达</t>
  </si>
  <si>
    <t>4节一对一+2小团体课+2节大团体课+选修课</t>
  </si>
  <si>
    <t>严格的斯巴达管理模式</t>
  </si>
  <si>
    <t>单人间</t>
  </si>
  <si>
    <t>热门房型建议提前6个月预定</t>
  </si>
  <si>
    <t>宿务EV半斯巴达</t>
  </si>
  <si>
    <t>强化口说6（斯巴达）</t>
  </si>
  <si>
    <t>6节一对一+1节小团体+1节大团体+选修课</t>
  </si>
  <si>
    <t>强化口说8（斯巴达）</t>
  </si>
  <si>
    <t>8节一对一+自习+选修课</t>
  </si>
  <si>
    <t>三人间</t>
  </si>
  <si>
    <t>4节一对一+2节小团体课+2节大团体+选修课</t>
  </si>
  <si>
    <t>雅思保证班（斯巴达）</t>
  </si>
  <si>
    <t>1节早课+4节一对一+4节团体课+1节晚课+选修课</t>
  </si>
  <si>
    <t>双人间（亲子）</t>
  </si>
  <si>
    <t>亲子课程每年寒暑假名额特别少，建议提前1年预定。</t>
  </si>
  <si>
    <t>多益（斯巴达）</t>
  </si>
  <si>
    <t>4节一对一+4节团体课+自习+选修课</t>
  </si>
  <si>
    <t>三人间（亲子）</t>
  </si>
  <si>
    <t>社交媒体英语（斯巴达）</t>
  </si>
  <si>
    <t>四人间（亲子）</t>
  </si>
  <si>
    <t>校外单间</t>
  </si>
  <si>
    <t>半斯巴达课程名称</t>
  </si>
  <si>
    <t>校外双人间</t>
  </si>
  <si>
    <t>半斯巴达 ESL</t>
  </si>
  <si>
    <t>半斯巴达管理模式</t>
  </si>
  <si>
    <t>活动：9折，不免注册费</t>
  </si>
  <si>
    <t>强化口说8（半斯巴达）</t>
  </si>
  <si>
    <t>8节一对一+选修课</t>
  </si>
  <si>
    <t>多益（半斯巴达）</t>
  </si>
  <si>
    <t>4节一对一+4节团体课+选修课</t>
  </si>
  <si>
    <t>商务英语（半斯巴达）</t>
  </si>
  <si>
    <t>社交媒体英语（半斯巴达）</t>
  </si>
  <si>
    <t>亲子课程（青少年）</t>
  </si>
  <si>
    <t>6节一对一+选修课</t>
  </si>
  <si>
    <t>亲子课程（家长）</t>
  </si>
  <si>
    <t>4节一对一+小组课2节</t>
  </si>
  <si>
    <t>备注：以上单价均为4周的单价</t>
  </si>
  <si>
    <t>上课时间将从1节课50分钟缩短为45分钟。 常规8节课不变，自习时间从每天1小时增加到2小时。
学生在自习期间可以选择参加学校额外提供的2节特殊课程，学生将会有更多的选择。</t>
  </si>
  <si>
    <t>【CALA 暑假额外加价通知】依此公告说明
1.暑假期间(七月、八月) 学费额外加价 $40 美金/周，共计8周 (包含佣金
2.适用期间:
2025年:07/07~08/30(共8周)
举例:注册 4周(2周在八月 +2周在九月)，只需加价 $80 美金 (只会计算 八月份的2周)</t>
  </si>
  <si>
    <t>4 节 1 对 1 课 + 4 节小组课</t>
  </si>
  <si>
    <t>3人间</t>
  </si>
  <si>
    <t>1848美元(约人民币13253元）</t>
  </si>
  <si>
    <t>微信/电话：13249827686  邮箱: xuezhizhou000@163.com</t>
  </si>
  <si>
    <t>常规雅思（半斯巴达）</t>
  </si>
  <si>
    <t>校外单间1周</t>
  </si>
  <si>
    <t>双人间3周</t>
  </si>
  <si>
    <t>青少年管理费</t>
  </si>
  <si>
    <t>3633美元（约25504元人民币）</t>
  </si>
  <si>
    <t>2、学杂费（即到学校后会产生的当地费用）</t>
  </si>
  <si>
    <t>1、SSP特殊学习许可证</t>
  </si>
  <si>
    <t>P6800/6个月有效期</t>
  </si>
  <si>
    <t>2、ACR-ICARD/学习8周以上需要</t>
  </si>
  <si>
    <t>P3500/1年有效期</t>
  </si>
  <si>
    <t>3、签证</t>
  </si>
  <si>
    <t>4、住宿费押金</t>
  </si>
  <si>
    <t>P2000/4周</t>
  </si>
  <si>
    <t>5、电费</t>
  </si>
  <si>
    <t>约P400/周</t>
  </si>
  <si>
    <t>6、接机费</t>
  </si>
  <si>
    <t>P1200</t>
  </si>
  <si>
    <t>7、管理费</t>
  </si>
  <si>
    <t>约P1000/4周</t>
  </si>
  <si>
    <t>8、书本费</t>
  </si>
  <si>
    <t>约1500元人民币/4周/人</t>
  </si>
  <si>
    <t>说明：
1、学费部分由游学机构代收或直接到校支付给学校，我们的报价单上就是最终价格，支付时按照支付宝实时汇率，把美元换算为人民币结算。
2、学杂费是到菲律宾当地需要交纳的费用，是学校直接收取的，我们的报价只作为参考，具体以学校收取的为准，但是一般不会有太大出入的。</t>
  </si>
  <si>
    <t>3588美元（约25255元人民币）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</si>
</sst>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2"/>
      <name val="宋体"/>
      <charset val="134"/>
    </font>
    <font>
      <b/>
      <sz val="28"/>
      <color rgb="FF5C9BD5"/>
      <name val="微软雅黑"/>
      <charset val="134"/>
    </font>
    <font>
      <b/>
      <sz val="28"/>
      <color rgb="FF9DC2E5"/>
      <name val="微软雅黑"/>
      <charset val="134"/>
    </font>
    <font>
      <sz val="9"/>
      <color rgb="FF7F7F7F"/>
      <name val="微软雅黑"/>
      <charset val="134"/>
    </font>
    <font>
      <sz val="9"/>
      <color rgb="FF808080"/>
      <name val="微软雅黑"/>
      <charset val="134"/>
    </font>
    <font>
      <sz val="12"/>
      <name val="微软雅黑"/>
      <charset val="134"/>
    </font>
    <font>
      <sz val="10"/>
      <name val="微软雅黑"/>
      <charset val="134"/>
    </font>
    <font>
      <sz val="8"/>
      <name val="微软雅黑"/>
      <charset val="134"/>
    </font>
    <font>
      <b/>
      <sz val="12"/>
      <name val="微软雅黑"/>
      <charset val="134"/>
    </font>
    <font>
      <b/>
      <sz val="11"/>
      <name val="微软雅黑"/>
      <charset val="134"/>
    </font>
    <font>
      <b/>
      <sz val="28"/>
      <color rgb="FF7030A0"/>
      <name val="微软雅黑"/>
      <charset val="134"/>
    </font>
    <font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sz val="16"/>
      <name val="宋体"/>
      <charset val="134"/>
    </font>
    <font>
      <b/>
      <sz val="24"/>
      <name val="宋体"/>
      <charset val="134"/>
    </font>
    <font>
      <b/>
      <sz val="16"/>
      <name val="宋体"/>
      <charset val="134"/>
    </font>
    <font>
      <sz val="14"/>
      <name val="宋体"/>
      <charset val="134"/>
    </font>
    <font>
      <sz val="12"/>
      <color rgb="FFFF0000"/>
      <name val="宋体"/>
      <charset val="134"/>
    </font>
    <font>
      <b/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5"/>
      <name val="微软雅黑"/>
      <charset val="134"/>
    </font>
    <font>
      <sz val="9"/>
      <name val="微软雅黑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sz val="10"/>
      <color rgb="FFFF000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8FF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rgb="FF2F75B6"/>
      </bottom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/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thick">
        <color rgb="FF7030A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7" borderId="1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20" applyNumberFormat="0" applyAlignment="0" applyProtection="0">
      <alignment vertical="center"/>
    </xf>
    <xf numFmtId="0" fontId="29" fillId="9" borderId="21" applyNumberFormat="0" applyAlignment="0" applyProtection="0">
      <alignment vertical="center"/>
    </xf>
    <xf numFmtId="0" fontId="30" fillId="9" borderId="20" applyNumberFormat="0" applyAlignment="0" applyProtection="0">
      <alignment vertical="center"/>
    </xf>
    <xf numFmtId="0" fontId="31" fillId="10" borderId="22" applyNumberFormat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vertical="center"/>
    </xf>
    <xf numFmtId="14" fontId="5" fillId="2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right" vertical="center"/>
    </xf>
    <xf numFmtId="14" fontId="5" fillId="3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 wrapText="1"/>
    </xf>
    <xf numFmtId="0" fontId="6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10" fillId="0" borderId="0" xfId="0" applyFont="1" applyFill="1" applyAlignment="1">
      <alignment horizontal="center"/>
    </xf>
    <xf numFmtId="0" fontId="4" fillId="0" borderId="9" xfId="0" applyFont="1" applyFill="1" applyBorder="1" applyAlignment="1">
      <alignment horizontal="left" vertical="center"/>
    </xf>
    <xf numFmtId="0" fontId="0" fillId="0" borderId="9" xfId="0" applyFill="1" applyBorder="1">
      <alignment vertical="center"/>
    </xf>
    <xf numFmtId="0" fontId="0" fillId="0" borderId="9" xfId="0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right" vertical="center"/>
    </xf>
    <xf numFmtId="14" fontId="5" fillId="4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6" fillId="4" borderId="0" xfId="0" applyFont="1" applyFill="1">
      <alignment vertical="center"/>
    </xf>
    <xf numFmtId="0" fontId="5" fillId="4" borderId="0" xfId="0" applyFont="1" applyFill="1">
      <alignment vertical="center"/>
    </xf>
    <xf numFmtId="0" fontId="8" fillId="0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12" fillId="4" borderId="3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13" fillId="0" borderId="0" xfId="0" applyFont="1" applyFill="1">
      <alignment vertical="center"/>
    </xf>
    <xf numFmtId="0" fontId="0" fillId="0" borderId="0" xfId="0" applyFill="1" applyAlignment="1">
      <alignment horizontal="right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 wrapText="1"/>
    </xf>
    <xf numFmtId="0" fontId="15" fillId="6" borderId="10" xfId="0" applyFont="1" applyFill="1" applyBorder="1">
      <alignment vertical="center"/>
    </xf>
    <xf numFmtId="0" fontId="15" fillId="6" borderId="10" xfId="0" applyFont="1" applyFill="1" applyBorder="1" applyAlignment="1">
      <alignment horizontal="left" vertical="center"/>
    </xf>
    <xf numFmtId="0" fontId="15" fillId="6" borderId="10" xfId="0" applyFont="1" applyFill="1" applyBorder="1" applyAlignment="1">
      <alignment horizontal="left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6" fillId="3" borderId="10" xfId="0" applyFont="1" applyFill="1" applyBorder="1">
      <alignment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 wrapText="1"/>
    </xf>
    <xf numFmtId="0" fontId="0" fillId="0" borderId="10" xfId="0" applyFill="1" applyBorder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0" xfId="0" applyFill="1" applyBorder="1" applyAlignment="1">
      <alignment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left" vertical="center"/>
    </xf>
    <xf numFmtId="0" fontId="0" fillId="0" borderId="10" xfId="0" applyFill="1" applyBorder="1" applyAlignment="1">
      <alignment horizontal="center" vertical="center" wrapText="1"/>
    </xf>
    <xf numFmtId="0" fontId="17" fillId="0" borderId="0" xfId="0" applyFont="1" applyFill="1">
      <alignment vertical="center"/>
    </xf>
    <xf numFmtId="0" fontId="17" fillId="0" borderId="0" xfId="0" applyFont="1" applyFill="1" applyAlignment="1">
      <alignment horizontal="left" vertical="center" wrapText="1"/>
    </xf>
    <xf numFmtId="0" fontId="18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 wrapText="1"/>
    </xf>
    <xf numFmtId="0" fontId="16" fillId="0" borderId="10" xfId="0" applyFont="1" applyFill="1" applyBorder="1">
      <alignment vertical="center"/>
    </xf>
    <xf numFmtId="0" fontId="16" fillId="0" borderId="10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14" fillId="6" borderId="14" xfId="0" applyFont="1" applyFill="1" applyBorder="1">
      <alignment vertical="center"/>
    </xf>
    <xf numFmtId="0" fontId="14" fillId="6" borderId="15" xfId="0" applyFont="1" applyFill="1" applyBorder="1">
      <alignment vertical="center"/>
    </xf>
    <xf numFmtId="0" fontId="14" fillId="6" borderId="16" xfId="0" applyFont="1" applyFill="1" applyBorder="1">
      <alignment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>
      <alignment vertical="center"/>
    </xf>
    <xf numFmtId="0" fontId="6" fillId="4" borderId="0" xfId="0" applyFont="1" applyFill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qingenglish@163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uqingenglish@163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uqingenglish@163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uqingenglish@163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muqingenglish@163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muqingenglish@163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muqingenglish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showGridLines="0" tabSelected="1" zoomScale="77" zoomScaleNormal="77" workbookViewId="0">
      <selection activeCell="D18" sqref="D18:E18"/>
    </sheetView>
  </sheetViews>
  <sheetFormatPr defaultColWidth="8.925" defaultRowHeight="15.6"/>
  <cols>
    <col min="1" max="1" width="10.8333333333333" style="1" customWidth="1"/>
    <col min="2" max="2" width="17.4166666666667" style="1" customWidth="1"/>
    <col min="3" max="3" width="20.4666666666667" style="1" customWidth="1"/>
    <col min="4" max="4" width="14.6" style="1" customWidth="1"/>
    <col min="5" max="5" width="21.4583333333333" style="2" customWidth="1"/>
    <col min="6" max="6" width="9.21666666666667" style="1"/>
    <col min="7" max="16384" width="9" style="1"/>
  </cols>
  <sheetData>
    <row r="1" ht="59.15" customHeight="1" spans="1:7">
      <c r="A1" s="45" t="s">
        <v>0</v>
      </c>
      <c r="B1" s="45"/>
      <c r="C1" s="45"/>
      <c r="D1" s="45"/>
      <c r="E1" s="45"/>
      <c r="F1" s="4"/>
      <c r="G1" s="4"/>
    </row>
    <row r="2" spans="1:7">
      <c r="A2" s="5"/>
      <c r="B2" s="5"/>
      <c r="C2" s="5"/>
      <c r="D2" s="5"/>
      <c r="E2" s="5"/>
      <c r="F2" s="6"/>
      <c r="G2" s="6"/>
    </row>
    <row r="3" spans="1:5">
      <c r="A3" s="7" t="s">
        <v>1</v>
      </c>
      <c r="B3" s="7"/>
      <c r="C3" s="7"/>
      <c r="D3" s="7"/>
      <c r="E3" s="7"/>
    </row>
    <row r="4" ht="8.15" customHeight="1" spans="1:5">
      <c r="A4" s="8"/>
      <c r="B4" s="8"/>
      <c r="C4" s="8"/>
      <c r="D4" s="8"/>
      <c r="E4" s="9"/>
    </row>
    <row r="5" ht="9" customHeight="1" spans="1:5">
      <c r="A5" s="46" t="s">
        <v>2</v>
      </c>
      <c r="B5" s="47"/>
      <c r="C5" s="47"/>
      <c r="D5" s="47"/>
      <c r="E5" s="48"/>
    </row>
    <row r="6" ht="22" customHeight="1" spans="1:5">
      <c r="A6" s="49" t="s">
        <v>3</v>
      </c>
      <c r="B6" s="49" t="s">
        <v>4</v>
      </c>
      <c r="C6" s="50"/>
      <c r="D6" s="50" t="s">
        <v>5</v>
      </c>
      <c r="E6" s="51">
        <v>45901</v>
      </c>
    </row>
    <row r="7" ht="22" customHeight="1" spans="1:5">
      <c r="A7" s="52" t="s">
        <v>6</v>
      </c>
      <c r="B7" s="53">
        <v>12</v>
      </c>
      <c r="C7" s="50"/>
      <c r="D7" s="50" t="s">
        <v>7</v>
      </c>
      <c r="E7" s="49" t="s">
        <v>8</v>
      </c>
    </row>
    <row r="8" s="44" customFormat="1" ht="22" customHeight="1" spans="1:5">
      <c r="A8" s="52" t="s">
        <v>9</v>
      </c>
      <c r="B8" s="54" t="s">
        <v>10</v>
      </c>
      <c r="C8" s="54" t="str">
        <f>VLOOKUP(B8,EV价格明细!A3:C20,3,FALSE)</f>
        <v>4节一对一+2节小团体课+2节大团体+选修课</v>
      </c>
      <c r="D8" s="55"/>
      <c r="E8" s="55"/>
    </row>
    <row r="9" ht="24" customHeight="1" spans="1:5">
      <c r="A9" s="56" t="s">
        <v>11</v>
      </c>
      <c r="B9" s="56"/>
      <c r="C9" s="56"/>
      <c r="D9" s="56"/>
      <c r="E9" s="56"/>
    </row>
    <row r="10" ht="22" customHeight="1" spans="1:5">
      <c r="A10" s="23" t="s">
        <v>12</v>
      </c>
      <c r="B10" s="57" t="s">
        <v>13</v>
      </c>
      <c r="C10" s="57"/>
      <c r="D10" s="58" t="s">
        <v>14</v>
      </c>
      <c r="E10" s="59"/>
    </row>
    <row r="11" ht="22" customHeight="1" spans="1:5">
      <c r="A11" s="23"/>
      <c r="B11" s="23" t="s">
        <v>15</v>
      </c>
      <c r="C11" s="23"/>
      <c r="D11" s="24">
        <v>100</v>
      </c>
      <c r="E11" s="25"/>
    </row>
    <row r="12" ht="22" customHeight="1" spans="1:5">
      <c r="A12" s="23"/>
      <c r="B12" s="23" t="s">
        <v>10</v>
      </c>
      <c r="C12" s="23"/>
      <c r="D12" s="24">
        <f>VLOOKUP($B12,EV价格明细!A3:C20,2,FALSE)*($B$7/4)</f>
        <v>3300</v>
      </c>
      <c r="E12" s="25"/>
    </row>
    <row r="13" ht="22" customHeight="1" spans="1:5">
      <c r="A13" s="23"/>
      <c r="B13" s="24" t="s">
        <v>8</v>
      </c>
      <c r="C13" s="25"/>
      <c r="D13" s="24">
        <f>VLOOKUP($B13,EV价格明细!F3:G13,2,FALSE)*($B$7/4)</f>
        <v>2580</v>
      </c>
      <c r="E13" s="25"/>
    </row>
    <row r="14" ht="35" customHeight="1" spans="1:10">
      <c r="A14" s="23"/>
      <c r="B14" s="60" t="s">
        <v>16</v>
      </c>
      <c r="C14" s="25"/>
      <c r="D14" s="24">
        <v>0</v>
      </c>
      <c r="E14" s="25"/>
      <c r="G14" s="1" t="s">
        <v>17</v>
      </c>
      <c r="J14" s="1">
        <f>40*6</f>
        <v>240</v>
      </c>
    </row>
    <row r="15" ht="35" customHeight="1" spans="1:5">
      <c r="A15" s="23"/>
      <c r="B15" s="61" t="s">
        <v>18</v>
      </c>
      <c r="C15" s="62"/>
      <c r="D15" s="63">
        <v>0</v>
      </c>
      <c r="E15" s="62"/>
    </row>
    <row r="16" ht="22" customHeight="1" spans="1:5">
      <c r="A16" s="23"/>
      <c r="B16" s="64" t="s">
        <v>19</v>
      </c>
      <c r="C16" s="29"/>
      <c r="D16" s="65">
        <f>SUM(D11:E15)</f>
        <v>5980</v>
      </c>
      <c r="E16" s="66"/>
    </row>
    <row r="17" ht="22" customHeight="1" spans="1:6">
      <c r="A17" s="23"/>
      <c r="B17" s="63" t="s">
        <v>20</v>
      </c>
      <c r="C17" s="28"/>
      <c r="D17" s="63">
        <v>0.95</v>
      </c>
      <c r="E17" s="28"/>
      <c r="F17" s="67">
        <f>(D12+D13+D14)*D17+D11+D15</f>
        <v>5686</v>
      </c>
    </row>
    <row r="18" ht="22" customHeight="1" spans="1:5">
      <c r="A18" s="23"/>
      <c r="B18" s="64" t="s">
        <v>21</v>
      </c>
      <c r="C18" s="29"/>
      <c r="D18" s="68" t="s">
        <v>22</v>
      </c>
      <c r="E18" s="31"/>
    </row>
    <row r="19" ht="26.15" customHeight="1" spans="1:5">
      <c r="A19" s="56" t="s">
        <v>23</v>
      </c>
      <c r="B19" s="56"/>
      <c r="C19" s="56"/>
      <c r="D19" s="56"/>
      <c r="E19" s="56"/>
    </row>
    <row r="20" ht="22" customHeight="1" spans="1:5">
      <c r="A20" s="32" t="s">
        <v>24</v>
      </c>
      <c r="B20" s="33" t="s">
        <v>25</v>
      </c>
      <c r="C20" s="34"/>
      <c r="D20" s="35" t="s">
        <v>26</v>
      </c>
      <c r="E20" s="34"/>
    </row>
    <row r="21" ht="22" customHeight="1" spans="1:5">
      <c r="A21" s="36"/>
      <c r="B21" s="33" t="s">
        <v>27</v>
      </c>
      <c r="C21" s="34"/>
      <c r="D21" s="35" t="s">
        <v>28</v>
      </c>
      <c r="E21" s="34"/>
    </row>
    <row r="22" ht="22" customHeight="1" spans="1:5">
      <c r="A22" s="36"/>
      <c r="B22" s="33" t="s">
        <v>29</v>
      </c>
      <c r="C22" s="34"/>
      <c r="D22" s="35" t="s">
        <v>30</v>
      </c>
      <c r="E22" s="34"/>
    </row>
    <row r="23" ht="22" customHeight="1" spans="1:5">
      <c r="A23" s="36"/>
      <c r="B23" s="33" t="s">
        <v>31</v>
      </c>
      <c r="C23" s="34"/>
      <c r="D23" s="35" t="s">
        <v>32</v>
      </c>
      <c r="E23" s="34"/>
    </row>
    <row r="24" ht="22" customHeight="1" spans="1:5">
      <c r="A24" s="36"/>
      <c r="B24" s="33"/>
      <c r="C24" s="34"/>
      <c r="D24" s="35" t="s">
        <v>33</v>
      </c>
      <c r="E24" s="34"/>
    </row>
    <row r="25" ht="22" customHeight="1" spans="1:5">
      <c r="A25" s="36"/>
      <c r="B25" s="33"/>
      <c r="C25" s="34"/>
      <c r="D25" s="35" t="s">
        <v>34</v>
      </c>
      <c r="E25" s="34"/>
    </row>
    <row r="26" ht="22" customHeight="1" spans="1:5">
      <c r="A26" s="36"/>
      <c r="B26" s="33" t="s">
        <v>35</v>
      </c>
      <c r="C26" s="34"/>
      <c r="D26" s="35" t="s">
        <v>36</v>
      </c>
      <c r="E26" s="34"/>
    </row>
    <row r="27" ht="22" customHeight="1" spans="1:5">
      <c r="A27" s="36"/>
      <c r="B27" s="33" t="s">
        <v>37</v>
      </c>
      <c r="C27" s="34"/>
      <c r="D27" s="35" t="s">
        <v>38</v>
      </c>
      <c r="E27" s="34"/>
    </row>
    <row r="28" ht="22" customHeight="1" spans="1:5">
      <c r="A28" s="36"/>
      <c r="B28" s="37" t="s">
        <v>39</v>
      </c>
      <c r="C28" s="38"/>
      <c r="D28" s="39" t="s">
        <v>40</v>
      </c>
      <c r="E28" s="38"/>
    </row>
    <row r="29" ht="22" customHeight="1" spans="1:5">
      <c r="A29" s="36"/>
      <c r="B29" s="37" t="s">
        <v>41</v>
      </c>
      <c r="C29" s="38"/>
      <c r="D29" s="39" t="s">
        <v>42</v>
      </c>
      <c r="E29" s="38"/>
    </row>
    <row r="30" ht="22" customHeight="1" spans="1:5">
      <c r="A30" s="36"/>
      <c r="B30" s="37" t="s">
        <v>43</v>
      </c>
      <c r="C30" s="38"/>
      <c r="D30" s="39" t="s">
        <v>44</v>
      </c>
      <c r="E30" s="38"/>
    </row>
    <row r="31" ht="22" customHeight="1" spans="1:5">
      <c r="A31" s="36"/>
      <c r="B31" s="37" t="s">
        <v>45</v>
      </c>
      <c r="C31" s="38"/>
      <c r="D31" s="39" t="s">
        <v>46</v>
      </c>
      <c r="E31" s="38"/>
    </row>
    <row r="32" ht="25" customHeight="1" spans="1:5">
      <c r="A32" s="40"/>
      <c r="B32" s="63" t="s">
        <v>47</v>
      </c>
      <c r="C32" s="28"/>
      <c r="D32" s="69" t="s">
        <v>48</v>
      </c>
      <c r="E32" s="70"/>
    </row>
    <row r="33" ht="83" customHeight="1" spans="1:5">
      <c r="A33" s="42" t="s">
        <v>49</v>
      </c>
      <c r="B33" s="43"/>
      <c r="C33" s="43"/>
      <c r="D33" s="43"/>
      <c r="E33" s="43"/>
    </row>
    <row r="34" ht="4.5" customHeight="1"/>
    <row r="35" ht="16.35" spans="1:5">
      <c r="A35" s="47"/>
      <c r="B35" s="47"/>
      <c r="C35" s="47"/>
      <c r="D35" s="47"/>
      <c r="E35" s="48"/>
    </row>
    <row r="37" spans="8:10">
      <c r="H37" s="1">
        <v>5000</v>
      </c>
      <c r="I37" s="1">
        <v>9.29</v>
      </c>
      <c r="J37" s="1">
        <f>H37*I37</f>
        <v>46450</v>
      </c>
    </row>
    <row r="38" spans="8:10">
      <c r="H38" s="1">
        <v>5000</v>
      </c>
      <c r="I38" s="1">
        <v>9</v>
      </c>
      <c r="J38" s="1">
        <f>H38*I38</f>
        <v>45000</v>
      </c>
    </row>
  </sheetData>
  <sheetProtection formatCells="0" insertHyperlinks="0" autoFilter="0"/>
  <mergeCells count="47">
    <mergeCell ref="A1:E1"/>
    <mergeCell ref="A2:E2"/>
    <mergeCell ref="A3:E3"/>
    <mergeCell ref="A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A19:E19"/>
    <mergeCell ref="B20:C20"/>
    <mergeCell ref="D20:E20"/>
    <mergeCell ref="B21:C21"/>
    <mergeCell ref="D21:E21"/>
    <mergeCell ref="B22:C22"/>
    <mergeCell ref="D22:E22"/>
    <mergeCell ref="D23:E23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B32:C32"/>
    <mergeCell ref="D32:E32"/>
    <mergeCell ref="A33:E33"/>
    <mergeCell ref="A10:A18"/>
    <mergeCell ref="A20:A32"/>
    <mergeCell ref="B23:C25"/>
  </mergeCells>
  <dataValidations count="4">
    <dataValidation type="list" allowBlank="1" showInputMessage="1" showErrorMessage="1" sqref="B6">
      <formula1>EV价格明细!$J$1:$J$4</formula1>
    </dataValidation>
    <dataValidation type="list" allowBlank="1" showInputMessage="1" showErrorMessage="1" sqref="E7 B13:C13">
      <formula1>EV价格明细!$F$3:$F$13</formula1>
    </dataValidation>
    <dataValidation type="list" allowBlank="1" showInputMessage="1" showErrorMessage="1" sqref="B8 B12:C12">
      <formula1>EV价格明细!$A$3:$A$20</formula1>
    </dataValidation>
    <dataValidation allowBlank="1" showInputMessage="1" showErrorMessage="1" sqref="B14:C14"/>
  </dataValidations>
  <hyperlinks>
    <hyperlink ref="A3" r:id="rId1" display="微信/电话：13249827686  邮箱: startedu86@163.com" tooltip="mailto:muqingenglish@163.com"/>
  </hyperlinks>
  <pageMargins left="0.375" right="0.375" top="0.5" bottom="0.5" header="0.25" footer="0.25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showGridLines="0" topLeftCell="A16" workbookViewId="0">
      <selection activeCell="D24" sqref="A$1:E$1048576"/>
    </sheetView>
  </sheetViews>
  <sheetFormatPr defaultColWidth="8.925" defaultRowHeight="15.6" outlineLevelCol="6"/>
  <cols>
    <col min="1" max="1" width="10.8333333333333" style="1" customWidth="1"/>
    <col min="2" max="3" width="20.6" style="1" customWidth="1"/>
    <col min="4" max="4" width="13.6" style="1" customWidth="1"/>
    <col min="5" max="5" width="21.4583333333333" style="2" customWidth="1"/>
    <col min="6" max="16384" width="9" style="1"/>
  </cols>
  <sheetData>
    <row r="1" ht="59.15" customHeight="1" spans="1:7">
      <c r="A1" s="45" t="s">
        <v>0</v>
      </c>
      <c r="B1" s="45"/>
      <c r="C1" s="45"/>
      <c r="D1" s="45"/>
      <c r="E1" s="45"/>
      <c r="F1" s="4"/>
      <c r="G1" s="4"/>
    </row>
    <row r="2" spans="1:7">
      <c r="A2" s="5"/>
      <c r="B2" s="5"/>
      <c r="C2" s="5"/>
      <c r="D2" s="5"/>
      <c r="E2" s="5"/>
      <c r="F2" s="6"/>
      <c r="G2" s="6"/>
    </row>
    <row r="3" spans="1:5">
      <c r="A3" s="7" t="s">
        <v>1</v>
      </c>
      <c r="B3" s="7"/>
      <c r="C3" s="7"/>
      <c r="D3" s="7"/>
      <c r="E3" s="7"/>
    </row>
    <row r="4" ht="8.15" customHeight="1"/>
    <row r="5" ht="9" customHeight="1" spans="1:5">
      <c r="A5" s="46" t="s">
        <v>2</v>
      </c>
      <c r="B5" s="47"/>
      <c r="C5" s="47"/>
      <c r="D5" s="47"/>
      <c r="E5" s="48"/>
    </row>
    <row r="6" ht="22" customHeight="1" spans="1:5">
      <c r="A6" s="49" t="s">
        <v>3</v>
      </c>
      <c r="B6" s="49" t="s">
        <v>4</v>
      </c>
      <c r="C6" s="50"/>
      <c r="D6" s="50" t="s">
        <v>5</v>
      </c>
      <c r="E6" s="51">
        <v>45833</v>
      </c>
    </row>
    <row r="7" ht="22" customHeight="1" spans="1:5">
      <c r="A7" s="52" t="s">
        <v>6</v>
      </c>
      <c r="B7" s="49">
        <v>4</v>
      </c>
      <c r="C7" s="50"/>
      <c r="D7" s="50" t="s">
        <v>7</v>
      </c>
      <c r="E7" s="49" t="s">
        <v>50</v>
      </c>
    </row>
    <row r="8" ht="22" customHeight="1" spans="1:5">
      <c r="A8" s="52" t="s">
        <v>9</v>
      </c>
      <c r="B8" s="54" t="s">
        <v>51</v>
      </c>
      <c r="C8" s="54" t="str">
        <f>VLOOKUP(B8,EV价格明细!A3:C20,3,FALSE)</f>
        <v>4节一对一+2小团体课+2节大团体课+选修课</v>
      </c>
      <c r="D8" s="55"/>
      <c r="E8" s="55"/>
    </row>
    <row r="9" ht="24" customHeight="1" spans="1:5">
      <c r="A9" s="22" t="s">
        <v>11</v>
      </c>
      <c r="B9" s="22"/>
      <c r="C9" s="22"/>
      <c r="D9" s="22"/>
      <c r="E9" s="22"/>
    </row>
    <row r="10" ht="22" customHeight="1" spans="1:5">
      <c r="A10" s="23" t="s">
        <v>12</v>
      </c>
      <c r="B10" s="23" t="s">
        <v>13</v>
      </c>
      <c r="C10" s="23"/>
      <c r="D10" s="24" t="s">
        <v>14</v>
      </c>
      <c r="E10" s="25"/>
    </row>
    <row r="11" ht="22" customHeight="1" spans="1:5">
      <c r="A11" s="23"/>
      <c r="B11" s="23" t="s">
        <v>52</v>
      </c>
      <c r="C11" s="23"/>
      <c r="D11" s="24">
        <v>100</v>
      </c>
      <c r="E11" s="25"/>
    </row>
    <row r="12" ht="22" customHeight="1" spans="1:5">
      <c r="A12" s="23"/>
      <c r="B12" s="23" t="s">
        <v>51</v>
      </c>
      <c r="C12" s="23"/>
      <c r="D12" s="24">
        <f>VLOOKUP($B12,EV价格明细!A3:C20,2,FALSE)*($B$7/4)</f>
        <v>980</v>
      </c>
      <c r="E12" s="25"/>
    </row>
    <row r="13" ht="22" customHeight="1" spans="1:5">
      <c r="A13" s="23"/>
      <c r="B13" s="24" t="s">
        <v>50</v>
      </c>
      <c r="C13" s="25"/>
      <c r="D13" s="24">
        <f>VLOOKUP($B13,EV价格明细!F3:G13,2,FALSE)*($B$7/4)</f>
        <v>990</v>
      </c>
      <c r="E13" s="25"/>
    </row>
    <row r="14" ht="22" customHeight="1" spans="1:5">
      <c r="A14" s="23"/>
      <c r="B14" s="63" t="s">
        <v>53</v>
      </c>
      <c r="C14" s="62"/>
      <c r="D14" s="24">
        <v>0</v>
      </c>
      <c r="E14" s="25"/>
    </row>
    <row r="15" ht="22" customHeight="1" spans="1:5">
      <c r="A15" s="23"/>
      <c r="B15" s="24" t="s">
        <v>54</v>
      </c>
      <c r="C15" s="25"/>
      <c r="D15" s="24">
        <v>140</v>
      </c>
      <c r="E15" s="25"/>
    </row>
    <row r="16" ht="22" customHeight="1" spans="1:5">
      <c r="A16" s="23"/>
      <c r="B16" s="106" t="s">
        <v>19</v>
      </c>
      <c r="C16" s="26"/>
      <c r="D16" s="63">
        <f>SUM(D11:E15)</f>
        <v>2210</v>
      </c>
      <c r="E16" s="28"/>
    </row>
    <row r="17" ht="22" customHeight="1" spans="1:6">
      <c r="A17" s="23"/>
      <c r="B17" s="63" t="s">
        <v>55</v>
      </c>
      <c r="C17" s="28"/>
      <c r="D17" s="63">
        <v>0.9</v>
      </c>
      <c r="E17" s="28"/>
      <c r="F17" s="1">
        <f>(D12+D13+D14+D15)*D17+D11</f>
        <v>1999</v>
      </c>
    </row>
    <row r="18" ht="22" customHeight="1" spans="1:5">
      <c r="A18" s="23"/>
      <c r="B18" s="64" t="s">
        <v>56</v>
      </c>
      <c r="C18" s="29"/>
      <c r="D18" s="68" t="s">
        <v>57</v>
      </c>
      <c r="E18" s="31"/>
    </row>
    <row r="19" ht="26.15" customHeight="1" spans="1:5">
      <c r="A19" s="22" t="s">
        <v>58</v>
      </c>
      <c r="B19" s="22"/>
      <c r="C19" s="22"/>
      <c r="D19" s="22"/>
      <c r="E19" s="22"/>
    </row>
    <row r="20" ht="22" customHeight="1" spans="1:5">
      <c r="A20" s="32" t="s">
        <v>24</v>
      </c>
      <c r="B20" s="33" t="s">
        <v>25</v>
      </c>
      <c r="C20" s="34"/>
      <c r="D20" s="35" t="s">
        <v>26</v>
      </c>
      <c r="E20" s="34"/>
    </row>
    <row r="21" ht="22" customHeight="1" spans="1:5">
      <c r="A21" s="36"/>
      <c r="B21" s="33" t="s">
        <v>27</v>
      </c>
      <c r="C21" s="34"/>
      <c r="D21" s="35" t="s">
        <v>28</v>
      </c>
      <c r="E21" s="34"/>
    </row>
    <row r="22" ht="22" customHeight="1" spans="1:5">
      <c r="A22" s="36"/>
      <c r="B22" s="33" t="s">
        <v>29</v>
      </c>
      <c r="C22" s="34"/>
      <c r="D22" s="35" t="s">
        <v>30</v>
      </c>
      <c r="E22" s="34"/>
    </row>
    <row r="23" ht="22" customHeight="1" spans="1:5">
      <c r="A23" s="36"/>
      <c r="B23" s="33" t="s">
        <v>31</v>
      </c>
      <c r="C23" s="34"/>
      <c r="D23" s="35" t="s">
        <v>32</v>
      </c>
      <c r="E23" s="34"/>
    </row>
    <row r="24" ht="22" customHeight="1" spans="1:5">
      <c r="A24" s="36"/>
      <c r="B24" s="33"/>
      <c r="C24" s="34"/>
      <c r="D24" s="35" t="s">
        <v>33</v>
      </c>
      <c r="E24" s="34"/>
    </row>
    <row r="25" ht="22" customHeight="1" spans="1:5">
      <c r="A25" s="36"/>
      <c r="B25" s="33"/>
      <c r="C25" s="34"/>
      <c r="D25" s="35" t="s">
        <v>34</v>
      </c>
      <c r="E25" s="34"/>
    </row>
    <row r="26" ht="22" customHeight="1" spans="1:5">
      <c r="A26" s="36"/>
      <c r="B26" s="33" t="s">
        <v>35</v>
      </c>
      <c r="C26" s="34"/>
      <c r="D26" s="35" t="s">
        <v>36</v>
      </c>
      <c r="E26" s="34"/>
    </row>
    <row r="27" ht="22" customHeight="1" spans="1:5">
      <c r="A27" s="36"/>
      <c r="B27" s="33" t="s">
        <v>37</v>
      </c>
      <c r="C27" s="34"/>
      <c r="D27" s="35" t="s">
        <v>38</v>
      </c>
      <c r="E27" s="34"/>
    </row>
    <row r="28" ht="22" customHeight="1" spans="1:5">
      <c r="A28" s="36"/>
      <c r="B28" s="37" t="s">
        <v>39</v>
      </c>
      <c r="C28" s="38"/>
      <c r="D28" s="39" t="s">
        <v>40</v>
      </c>
      <c r="E28" s="38"/>
    </row>
    <row r="29" ht="22" customHeight="1" spans="1:5">
      <c r="A29" s="36"/>
      <c r="B29" s="37" t="s">
        <v>41</v>
      </c>
      <c r="C29" s="38"/>
      <c r="D29" s="39" t="s">
        <v>42</v>
      </c>
      <c r="E29" s="38"/>
    </row>
    <row r="30" ht="22" customHeight="1" spans="1:5">
      <c r="A30" s="36"/>
      <c r="B30" s="37" t="s">
        <v>43</v>
      </c>
      <c r="C30" s="38"/>
      <c r="D30" s="39" t="s">
        <v>44</v>
      </c>
      <c r="E30" s="38"/>
    </row>
    <row r="31" ht="22" customHeight="1" spans="1:5">
      <c r="A31" s="36"/>
      <c r="B31" s="37" t="s">
        <v>45</v>
      </c>
      <c r="C31" s="38"/>
      <c r="D31" s="39" t="s">
        <v>46</v>
      </c>
      <c r="E31" s="38"/>
    </row>
    <row r="32" ht="22" customHeight="1" spans="1:5">
      <c r="A32" s="40"/>
      <c r="B32" s="63" t="s">
        <v>47</v>
      </c>
      <c r="C32" s="28"/>
      <c r="D32" s="69" t="s">
        <v>48</v>
      </c>
      <c r="E32" s="70"/>
    </row>
    <row r="33" ht="83" customHeight="1" spans="1:5">
      <c r="A33" s="42" t="s">
        <v>49</v>
      </c>
      <c r="B33" s="43"/>
      <c r="C33" s="43"/>
      <c r="D33" s="43"/>
      <c r="E33" s="43"/>
    </row>
    <row r="34" ht="4.5" customHeight="1"/>
    <row r="35" ht="16.35" spans="1:5">
      <c r="A35" s="47"/>
      <c r="B35" s="47"/>
      <c r="C35" s="47"/>
      <c r="D35" s="47"/>
      <c r="E35" s="48"/>
    </row>
  </sheetData>
  <sheetProtection formatCells="0" insertHyperlinks="0" autoFilter="0"/>
  <mergeCells count="47">
    <mergeCell ref="A1:E1"/>
    <mergeCell ref="A2:E2"/>
    <mergeCell ref="A3:E3"/>
    <mergeCell ref="A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A19:E19"/>
    <mergeCell ref="B20:C20"/>
    <mergeCell ref="D20:E20"/>
    <mergeCell ref="B21:C21"/>
    <mergeCell ref="D21:E21"/>
    <mergeCell ref="B22:C22"/>
    <mergeCell ref="D22:E22"/>
    <mergeCell ref="D23:E23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B32:C32"/>
    <mergeCell ref="D32:E32"/>
    <mergeCell ref="A33:E33"/>
    <mergeCell ref="A10:A18"/>
    <mergeCell ref="A20:A32"/>
    <mergeCell ref="B23:C25"/>
  </mergeCells>
  <dataValidations count="4">
    <dataValidation type="list" allowBlank="1" showInputMessage="1" showErrorMessage="1" sqref="B6">
      <formula1>EV价格明细!$J$1:$J$4</formula1>
    </dataValidation>
    <dataValidation type="list" allowBlank="1" showInputMessage="1" showErrorMessage="1" sqref="E7 B13:C13">
      <formula1>EV价格明细!$F$3:$F$11</formula1>
    </dataValidation>
    <dataValidation type="list" allowBlank="1" showInputMessage="1" showErrorMessage="1" sqref="B8 B12:C12">
      <formula1>EV价格明细!$A$3:$A$20</formula1>
    </dataValidation>
    <dataValidation allowBlank="1" showInputMessage="1" showErrorMessage="1" sqref="B15:C15"/>
  </dataValidations>
  <hyperlinks>
    <hyperlink ref="A3" r:id="rId1" display="微信/电话：13249827686  邮箱: startedu86@163.com" tooltip="mailto:muqingenglish@163.com"/>
  </hyperlinks>
  <pageMargins left="0.375" right="0.375" top="0.5" bottom="0.5" header="0.25" footer="0.25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showGridLines="0" topLeftCell="A23" workbookViewId="0">
      <selection activeCell="A1" sqref="A1:E38"/>
    </sheetView>
  </sheetViews>
  <sheetFormatPr defaultColWidth="8.925" defaultRowHeight="15.6"/>
  <cols>
    <col min="1" max="1" width="10.8333333333333" style="1" customWidth="1"/>
    <col min="2" max="3" width="20.4" style="1" customWidth="1"/>
    <col min="4" max="4" width="22.4" style="1" customWidth="1"/>
    <col min="5" max="5" width="14.7416666666667" style="2" customWidth="1"/>
    <col min="6" max="16384" width="9" style="1"/>
  </cols>
  <sheetData>
    <row r="1" ht="59.15" customHeight="1" spans="1:7">
      <c r="A1" s="45" t="s">
        <v>0</v>
      </c>
      <c r="B1" s="45"/>
      <c r="C1" s="45"/>
      <c r="D1" s="45"/>
      <c r="E1" s="45"/>
      <c r="F1" s="4"/>
      <c r="G1" s="4"/>
    </row>
    <row r="2" spans="1:7">
      <c r="A2" s="5"/>
      <c r="B2" s="5"/>
      <c r="C2" s="5"/>
      <c r="D2" s="5"/>
      <c r="E2" s="5"/>
      <c r="F2" s="6"/>
      <c r="G2" s="6"/>
    </row>
    <row r="3" spans="1:5">
      <c r="A3" s="7" t="s">
        <v>1</v>
      </c>
      <c r="B3" s="7"/>
      <c r="C3" s="7"/>
      <c r="D3" s="7"/>
      <c r="E3" s="7"/>
    </row>
    <row r="4" ht="8.15" customHeight="1"/>
    <row r="5" ht="9" customHeight="1" spans="1:5">
      <c r="A5" s="46" t="s">
        <v>2</v>
      </c>
      <c r="B5" s="47"/>
      <c r="C5" s="47"/>
      <c r="D5" s="47"/>
      <c r="E5" s="48"/>
    </row>
    <row r="6" ht="22" customHeight="1" spans="1:5">
      <c r="A6" s="49" t="s">
        <v>3</v>
      </c>
      <c r="B6" s="49" t="s">
        <v>4</v>
      </c>
      <c r="C6" s="50"/>
      <c r="D6" s="50" t="s">
        <v>5</v>
      </c>
      <c r="E6" s="51">
        <v>45862</v>
      </c>
    </row>
    <row r="7" customFormat="1" ht="6" customHeight="1" spans="1:5">
      <c r="A7" s="14"/>
      <c r="B7" s="14"/>
      <c r="C7" s="15"/>
      <c r="D7" s="15"/>
      <c r="E7" s="16"/>
    </row>
    <row r="8" customFormat="1" ht="22" customHeight="1" spans="1:5">
      <c r="A8" s="52" t="s">
        <v>59</v>
      </c>
      <c r="B8" s="49" t="s">
        <v>60</v>
      </c>
      <c r="C8" s="49" t="s">
        <v>61</v>
      </c>
      <c r="D8" s="50"/>
      <c r="E8" s="50" t="s">
        <v>62</v>
      </c>
    </row>
    <row r="9" customFormat="1" ht="22" customHeight="1" spans="1:12">
      <c r="A9" s="103">
        <v>1</v>
      </c>
      <c r="B9" s="54" t="s">
        <v>63</v>
      </c>
      <c r="C9" s="54" t="str">
        <f>VLOOKUP($B$9,EV价格明细!A3:C20,3,FALSE)</f>
        <v>6节一对一+1节小团体+1节大团体+选修课</v>
      </c>
      <c r="D9" s="50"/>
      <c r="E9" s="105" t="s">
        <v>50</v>
      </c>
      <c r="L9">
        <v>55117</v>
      </c>
    </row>
    <row r="10" customFormat="1" ht="22" customHeight="1" spans="1:12">
      <c r="A10" s="103">
        <v>3</v>
      </c>
      <c r="B10" s="54" t="s">
        <v>63</v>
      </c>
      <c r="C10" s="54" t="str">
        <f>VLOOKUP($B$10,EV价格明细!A4:C21,3,FALSE)</f>
        <v>6节一对一+1节小团体+1节大团体+选修课</v>
      </c>
      <c r="D10" s="50"/>
      <c r="E10" s="105" t="s">
        <v>8</v>
      </c>
      <c r="L10">
        <v>53434</v>
      </c>
    </row>
    <row r="11" ht="24" customHeight="1" spans="1:13">
      <c r="A11" s="22" t="s">
        <v>11</v>
      </c>
      <c r="B11" s="22"/>
      <c r="C11" s="22"/>
      <c r="D11" s="22"/>
      <c r="E11" s="22"/>
      <c r="L11" s="1">
        <f>L9-L10</f>
        <v>1683</v>
      </c>
      <c r="M11" s="1">
        <v>500</v>
      </c>
    </row>
    <row r="12" ht="22" customHeight="1" spans="1:5">
      <c r="A12" s="23" t="s">
        <v>12</v>
      </c>
      <c r="B12" s="23" t="s">
        <v>13</v>
      </c>
      <c r="C12" s="23"/>
      <c r="D12" s="24" t="s">
        <v>14</v>
      </c>
      <c r="E12" s="25"/>
    </row>
    <row r="13" ht="22" customHeight="1" spans="1:5">
      <c r="A13" s="23"/>
      <c r="B13" s="23" t="s">
        <v>52</v>
      </c>
      <c r="C13" s="23"/>
      <c r="D13" s="24">
        <v>100</v>
      </c>
      <c r="E13" s="25"/>
    </row>
    <row r="14" ht="22" customHeight="1" spans="1:5">
      <c r="A14" s="23"/>
      <c r="B14" s="23" t="s">
        <v>63</v>
      </c>
      <c r="C14" s="23"/>
      <c r="D14" s="24">
        <f>VLOOKUP($B14,EV价格明细!A3:C20,2,FALSE)*(A9/4)</f>
        <v>280</v>
      </c>
      <c r="E14" s="25"/>
    </row>
    <row r="15" ht="22" customHeight="1" spans="1:5">
      <c r="A15" s="23"/>
      <c r="B15" s="23" t="s">
        <v>63</v>
      </c>
      <c r="C15" s="23"/>
      <c r="D15" s="24">
        <f>VLOOKUP($B15,EV价格明细!A4:C21,2,FALSE)*(A10/4)</f>
        <v>840</v>
      </c>
      <c r="E15" s="25"/>
    </row>
    <row r="16" ht="22" customHeight="1" spans="1:5">
      <c r="A16" s="23"/>
      <c r="B16" s="24" t="s">
        <v>50</v>
      </c>
      <c r="C16" s="25"/>
      <c r="D16" s="24">
        <f>VLOOKUP(B16,EV价格明细!F4:G12,2,FALSE)*((A9)/4)</f>
        <v>247.5</v>
      </c>
      <c r="E16" s="25"/>
    </row>
    <row r="17" ht="22" customHeight="1" spans="1:5">
      <c r="A17" s="23"/>
      <c r="B17" s="24" t="s">
        <v>8</v>
      </c>
      <c r="C17" s="25"/>
      <c r="D17" s="24">
        <f>VLOOKUP($B17,EV价格明细!F4:G12,2,FALSE)*((A10)/4)</f>
        <v>645</v>
      </c>
      <c r="E17" s="25"/>
    </row>
    <row r="18" ht="35" hidden="1" customHeight="1" spans="1:5">
      <c r="A18" s="23"/>
      <c r="B18" s="60" t="s">
        <v>64</v>
      </c>
      <c r="C18" s="25"/>
      <c r="D18" s="24">
        <v>0</v>
      </c>
      <c r="E18" s="25"/>
    </row>
    <row r="19" ht="35" hidden="1" customHeight="1" spans="1:5">
      <c r="A19" s="23"/>
      <c r="B19" s="60" t="s">
        <v>65</v>
      </c>
      <c r="C19" s="25"/>
      <c r="D19" s="24">
        <v>0</v>
      </c>
      <c r="E19" s="25"/>
    </row>
    <row r="20" ht="22" customHeight="1" spans="1:5">
      <c r="A20" s="23"/>
      <c r="B20" s="106" t="s">
        <v>19</v>
      </c>
      <c r="C20" s="26"/>
      <c r="D20" s="63">
        <f>SUM(D13:E19)</f>
        <v>2112.5</v>
      </c>
      <c r="E20" s="28"/>
    </row>
    <row r="21" ht="22" customHeight="1" spans="1:6">
      <c r="A21" s="23"/>
      <c r="B21" s="63" t="s">
        <v>55</v>
      </c>
      <c r="C21" s="28"/>
      <c r="D21" s="63">
        <v>0.9</v>
      </c>
      <c r="E21" s="28"/>
      <c r="F21" s="1">
        <f>D20*D21</f>
        <v>1901.25</v>
      </c>
    </row>
    <row r="22" ht="22" customHeight="1" spans="1:6">
      <c r="A22" s="23"/>
      <c r="B22" s="64" t="s">
        <v>21</v>
      </c>
      <c r="C22" s="29"/>
      <c r="D22" s="68" t="s">
        <v>66</v>
      </c>
      <c r="E22" s="31"/>
      <c r="F22" s="1">
        <f>(D20-D13-D18-D19)*D21+D13+D18+D19</f>
        <v>1911.25</v>
      </c>
    </row>
    <row r="23" ht="26.15" customHeight="1" spans="1:5">
      <c r="A23" s="22" t="s">
        <v>58</v>
      </c>
      <c r="B23" s="22"/>
      <c r="C23" s="22"/>
      <c r="D23" s="22"/>
      <c r="E23" s="22"/>
    </row>
    <row r="24" ht="22" customHeight="1" spans="1:5">
      <c r="A24" s="32" t="s">
        <v>24</v>
      </c>
      <c r="B24" s="33" t="s">
        <v>25</v>
      </c>
      <c r="C24" s="34"/>
      <c r="D24" s="35" t="s">
        <v>26</v>
      </c>
      <c r="E24" s="34"/>
    </row>
    <row r="25" ht="22" customHeight="1" spans="1:5">
      <c r="A25" s="36"/>
      <c r="B25" s="33" t="s">
        <v>27</v>
      </c>
      <c r="C25" s="34"/>
      <c r="D25" s="35" t="s">
        <v>28</v>
      </c>
      <c r="E25" s="34"/>
    </row>
    <row r="26" ht="22" customHeight="1" spans="1:5">
      <c r="A26" s="36"/>
      <c r="B26" s="33" t="s">
        <v>29</v>
      </c>
      <c r="C26" s="34"/>
      <c r="D26" s="35" t="s">
        <v>30</v>
      </c>
      <c r="E26" s="34"/>
    </row>
    <row r="27" ht="22" customHeight="1" spans="1:5">
      <c r="A27" s="36"/>
      <c r="B27" s="33" t="s">
        <v>31</v>
      </c>
      <c r="C27" s="34"/>
      <c r="D27" s="35" t="s">
        <v>32</v>
      </c>
      <c r="E27" s="34"/>
    </row>
    <row r="28" ht="22" customHeight="1" spans="1:5">
      <c r="A28" s="36"/>
      <c r="B28" s="33"/>
      <c r="C28" s="34"/>
      <c r="D28" s="35" t="s">
        <v>33</v>
      </c>
      <c r="E28" s="34"/>
    </row>
    <row r="29" ht="22" customHeight="1" spans="1:5">
      <c r="A29" s="36"/>
      <c r="B29" s="33"/>
      <c r="C29" s="34"/>
      <c r="D29" s="35" t="s">
        <v>34</v>
      </c>
      <c r="E29" s="34"/>
    </row>
    <row r="30" ht="22" customHeight="1" spans="1:5">
      <c r="A30" s="36"/>
      <c r="B30" s="33" t="s">
        <v>35</v>
      </c>
      <c r="C30" s="34"/>
      <c r="D30" s="35" t="s">
        <v>36</v>
      </c>
      <c r="E30" s="34"/>
    </row>
    <row r="31" ht="22" customHeight="1" spans="1:5">
      <c r="A31" s="36"/>
      <c r="B31" s="33" t="s">
        <v>37</v>
      </c>
      <c r="C31" s="34"/>
      <c r="D31" s="35" t="s">
        <v>38</v>
      </c>
      <c r="E31" s="34"/>
    </row>
    <row r="32" ht="22" customHeight="1" spans="1:5">
      <c r="A32" s="36"/>
      <c r="B32" s="37" t="s">
        <v>39</v>
      </c>
      <c r="C32" s="38"/>
      <c r="D32" s="39" t="s">
        <v>40</v>
      </c>
      <c r="E32" s="38"/>
    </row>
    <row r="33" ht="22" customHeight="1" spans="1:5">
      <c r="A33" s="36"/>
      <c r="B33" s="37" t="s">
        <v>41</v>
      </c>
      <c r="C33" s="38"/>
      <c r="D33" s="39" t="s">
        <v>42</v>
      </c>
      <c r="E33" s="38"/>
    </row>
    <row r="34" ht="22" customHeight="1" spans="1:5">
      <c r="A34" s="36"/>
      <c r="B34" s="37" t="s">
        <v>43</v>
      </c>
      <c r="C34" s="38"/>
      <c r="D34" s="39" t="s">
        <v>44</v>
      </c>
      <c r="E34" s="38"/>
    </row>
    <row r="35" ht="22" customHeight="1" spans="1:5">
      <c r="A35" s="36"/>
      <c r="B35" s="37" t="s">
        <v>45</v>
      </c>
      <c r="C35" s="38"/>
      <c r="D35" s="39" t="s">
        <v>46</v>
      </c>
      <c r="E35" s="38"/>
    </row>
    <row r="36" ht="22" customHeight="1" spans="1:5">
      <c r="A36" s="40"/>
      <c r="B36" s="63" t="s">
        <v>47</v>
      </c>
      <c r="C36" s="28"/>
      <c r="D36" s="69" t="s">
        <v>48</v>
      </c>
      <c r="E36" s="70"/>
    </row>
    <row r="37" ht="83" customHeight="1" spans="1:5">
      <c r="A37" s="42" t="s">
        <v>49</v>
      </c>
      <c r="B37" s="43"/>
      <c r="C37" s="43"/>
      <c r="D37" s="43"/>
      <c r="E37" s="43"/>
    </row>
    <row r="38" ht="4.5" customHeight="1"/>
    <row r="39" ht="16.35" spans="1:5">
      <c r="A39" s="47"/>
      <c r="B39" s="47"/>
      <c r="C39" s="47"/>
      <c r="D39" s="47"/>
      <c r="E39" s="48"/>
    </row>
  </sheetData>
  <sheetProtection formatCells="0" insertHyperlinks="0" autoFilter="0"/>
  <mergeCells count="51">
    <mergeCell ref="A1:E1"/>
    <mergeCell ref="A2:E2"/>
    <mergeCell ref="A3:E3"/>
    <mergeCell ref="A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A23:E23"/>
    <mergeCell ref="B24:C24"/>
    <mergeCell ref="D24:E24"/>
    <mergeCell ref="B25:C25"/>
    <mergeCell ref="D25:E25"/>
    <mergeCell ref="B26:C26"/>
    <mergeCell ref="D26:E26"/>
    <mergeCell ref="D27:E27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B36:C36"/>
    <mergeCell ref="D36:E36"/>
    <mergeCell ref="A37:E37"/>
    <mergeCell ref="A12:A22"/>
    <mergeCell ref="A24:A36"/>
    <mergeCell ref="B27:C29"/>
  </mergeCells>
  <dataValidations count="5">
    <dataValidation type="list" allowBlank="1" showInputMessage="1" showErrorMessage="1" sqref="B6">
      <formula1>EV价格明细!$J$1:$J$4</formula1>
    </dataValidation>
    <dataValidation type="list" allowBlank="1" showInputMessage="1" showErrorMessage="1" sqref="B7 E8">
      <formula1>#REF!</formula1>
    </dataValidation>
    <dataValidation allowBlank="1" showInputMessage="1" showErrorMessage="1" sqref="B19:C19"/>
    <dataValidation type="list" allowBlank="1" showInputMessage="1" showErrorMessage="1" sqref="B9:B10 B14:C15">
      <formula1>EV价格明细!$A$3:$A$20</formula1>
    </dataValidation>
    <dataValidation type="list" allowBlank="1" showInputMessage="1" showErrorMessage="1" sqref="E9:E10 B16:C17">
      <formula1>EV价格明细!$F$3:$F$13</formula1>
    </dataValidation>
  </dataValidations>
  <hyperlinks>
    <hyperlink ref="A3" r:id="rId1" display="微信/电话：13249827686  邮箱: startedu86@163.com" tooltip="mailto:muqingenglish@163.com"/>
  </hyperlinks>
  <pageMargins left="0.75" right="0.75" top="1" bottom="1" header="0.509027777777778" footer="0.509027777777778"/>
  <pageSetup paperSize="9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showGridLines="0" zoomScale="115" zoomScaleNormal="115" topLeftCell="A24" workbookViewId="0">
      <selection activeCell="A26" sqref="A26:E38"/>
    </sheetView>
  </sheetViews>
  <sheetFormatPr defaultColWidth="8.925" defaultRowHeight="15.6" outlineLevelCol="6"/>
  <cols>
    <col min="1" max="1" width="10.8333333333333" style="1" customWidth="1"/>
    <col min="2" max="2" width="19.6" style="1" customWidth="1"/>
    <col min="3" max="3" width="15.6" style="1" customWidth="1"/>
    <col min="4" max="4" width="18.4166666666667" style="1" customWidth="1"/>
    <col min="5" max="5" width="14.7416666666667" style="2" customWidth="1"/>
    <col min="6" max="16384" width="9" style="1"/>
  </cols>
  <sheetData>
    <row r="1" ht="59.15" customHeight="1" spans="1:7">
      <c r="A1" s="45" t="s">
        <v>0</v>
      </c>
      <c r="B1" s="45"/>
      <c r="C1" s="45"/>
      <c r="D1" s="45"/>
      <c r="E1" s="45"/>
      <c r="F1" s="4"/>
      <c r="G1" s="4"/>
    </row>
    <row r="2" spans="1:7">
      <c r="A2" s="5"/>
      <c r="B2" s="5"/>
      <c r="C2" s="5"/>
      <c r="D2" s="5"/>
      <c r="E2" s="5"/>
      <c r="F2" s="6"/>
      <c r="G2" s="6"/>
    </row>
    <row r="3" spans="1:5">
      <c r="A3" s="7" t="s">
        <v>1</v>
      </c>
      <c r="B3" s="7"/>
      <c r="C3" s="7"/>
      <c r="D3" s="7"/>
      <c r="E3" s="7"/>
    </row>
    <row r="4" ht="8.15" customHeight="1"/>
    <row r="5" ht="9" customHeight="1" spans="1:5">
      <c r="A5" s="46" t="s">
        <v>2</v>
      </c>
      <c r="B5" s="47"/>
      <c r="C5" s="47"/>
      <c r="D5" s="47"/>
      <c r="E5" s="48"/>
    </row>
    <row r="6" ht="22" customHeight="1" spans="1:5">
      <c r="A6" s="49" t="s">
        <v>3</v>
      </c>
      <c r="B6" s="49" t="s">
        <v>4</v>
      </c>
      <c r="C6" s="50"/>
      <c r="D6" s="50" t="s">
        <v>5</v>
      </c>
      <c r="E6" s="51">
        <v>45445</v>
      </c>
    </row>
    <row r="7" customFormat="1" ht="6" customHeight="1" spans="1:5">
      <c r="A7" s="14"/>
      <c r="B7" s="14"/>
      <c r="C7" s="15"/>
      <c r="D7" s="15"/>
      <c r="E7" s="16"/>
    </row>
    <row r="8" customFormat="1" ht="22" customHeight="1" spans="1:5">
      <c r="A8" s="52" t="s">
        <v>59</v>
      </c>
      <c r="B8" s="49" t="s">
        <v>60</v>
      </c>
      <c r="C8" s="49" t="s">
        <v>61</v>
      </c>
      <c r="D8" s="50"/>
      <c r="E8" s="50" t="s">
        <v>62</v>
      </c>
    </row>
    <row r="9" customFormat="1" ht="22" customHeight="1" spans="1:5">
      <c r="A9" s="103">
        <v>4</v>
      </c>
      <c r="B9" s="104" t="s">
        <v>51</v>
      </c>
      <c r="C9" s="54" t="str">
        <f>VLOOKUP($B$9,EV价格明细!A3:C20,3,FALSE)</f>
        <v>4节一对一+2小团体课+2节大团体课+选修课</v>
      </c>
      <c r="D9" s="50"/>
      <c r="E9" s="105" t="s">
        <v>67</v>
      </c>
    </row>
    <row r="10" customFormat="1" ht="22" customHeight="1" spans="1:5">
      <c r="A10" s="103">
        <v>4</v>
      </c>
      <c r="B10" s="104" t="s">
        <v>68</v>
      </c>
      <c r="C10" s="54" t="str">
        <f>VLOOKUP($B$11,EV价格明细!A3:C20,3,FALSE)</f>
        <v>4节一对一+2节小团体课+2节大团体+选修课</v>
      </c>
      <c r="D10" s="50"/>
      <c r="E10" s="105" t="s">
        <v>67</v>
      </c>
    </row>
    <row r="11" customFormat="1" ht="22" customHeight="1" spans="1:5">
      <c r="A11" s="103">
        <v>4</v>
      </c>
      <c r="B11" s="104" t="s">
        <v>10</v>
      </c>
      <c r="C11" s="54" t="str">
        <f>VLOOKUP($B$11,EV价格明细!A4:C21,3,FALSE)</f>
        <v>4节一对一+2节小团体课+2节大团体+选修课</v>
      </c>
      <c r="D11" s="50"/>
      <c r="E11" s="105" t="s">
        <v>67</v>
      </c>
    </row>
    <row r="12" ht="24" customHeight="1" spans="1:5">
      <c r="A12" s="22" t="s">
        <v>11</v>
      </c>
      <c r="B12" s="22"/>
      <c r="C12" s="22"/>
      <c r="D12" s="22"/>
      <c r="E12" s="22"/>
    </row>
    <row r="13" ht="22" customHeight="1" spans="1:5">
      <c r="A13" s="23" t="s">
        <v>12</v>
      </c>
      <c r="B13" s="23" t="s">
        <v>13</v>
      </c>
      <c r="C13" s="23"/>
      <c r="D13" s="24" t="s">
        <v>14</v>
      </c>
      <c r="E13" s="25"/>
    </row>
    <row r="14" ht="22" customHeight="1" spans="1:5">
      <c r="A14" s="23"/>
      <c r="B14" s="23" t="s">
        <v>52</v>
      </c>
      <c r="C14" s="23"/>
      <c r="D14" s="24">
        <v>100</v>
      </c>
      <c r="E14" s="25"/>
    </row>
    <row r="15" ht="22" customHeight="1" spans="1:5">
      <c r="A15" s="23"/>
      <c r="B15" s="23" t="s">
        <v>51</v>
      </c>
      <c r="C15" s="23"/>
      <c r="D15" s="24">
        <f>VLOOKUP($B15,EV价格明细!A2:C19,2,FALSE)*(A9/4)</f>
        <v>980</v>
      </c>
      <c r="E15" s="25"/>
    </row>
    <row r="16" ht="22" customHeight="1" spans="1:5">
      <c r="A16" s="23"/>
      <c r="B16" s="23" t="s">
        <v>68</v>
      </c>
      <c r="C16" s="23"/>
      <c r="D16" s="24">
        <f>VLOOKUP($B16,EV价格明细!A3:C20,2,FALSE)*(A10/4)</f>
        <v>1100</v>
      </c>
      <c r="E16" s="25"/>
    </row>
    <row r="17" ht="22" customHeight="1" spans="1:5">
      <c r="A17" s="23"/>
      <c r="B17" s="23" t="s">
        <v>10</v>
      </c>
      <c r="C17" s="23"/>
      <c r="D17" s="24">
        <f>VLOOKUP($B17,EV价格明细!A4:C21,2,FALSE)*(A11/4)</f>
        <v>1100</v>
      </c>
      <c r="E17" s="25"/>
    </row>
    <row r="18" ht="22" customHeight="1" spans="1:5">
      <c r="A18" s="23"/>
      <c r="B18" s="24" t="s">
        <v>67</v>
      </c>
      <c r="C18" s="25"/>
      <c r="D18" s="24" t="e">
        <f>VLOOKUP($B18,EV价格明细!F3:G13,2,FALSE)*(A9/4)</f>
        <v>#N/A</v>
      </c>
      <c r="E18" s="25"/>
    </row>
    <row r="19" ht="22" customHeight="1" spans="1:5">
      <c r="A19" s="23"/>
      <c r="B19" s="24" t="s">
        <v>67</v>
      </c>
      <c r="C19" s="25"/>
      <c r="D19" s="24" t="e">
        <f>VLOOKUP($B19,EV价格明细!F3:G12,2,FALSE)*(A10/4)</f>
        <v>#N/A</v>
      </c>
      <c r="E19" s="25"/>
    </row>
    <row r="20" ht="22" customHeight="1" spans="1:5">
      <c r="A20" s="23"/>
      <c r="B20" s="24" t="s">
        <v>67</v>
      </c>
      <c r="C20" s="25"/>
      <c r="D20" s="24" t="e">
        <f>VLOOKUP($B20,EV价格明细!F4:G13,2,FALSE)*(A11/4)</f>
        <v>#N/A</v>
      </c>
      <c r="E20" s="25"/>
    </row>
    <row r="21" ht="22" customHeight="1" spans="1:5">
      <c r="A21" s="23"/>
      <c r="B21" s="24" t="s">
        <v>69</v>
      </c>
      <c r="C21" s="25"/>
      <c r="D21" s="24">
        <v>0</v>
      </c>
      <c r="E21" s="25"/>
    </row>
    <row r="22" ht="22" customHeight="1" spans="1:5">
      <c r="A22" s="23"/>
      <c r="B22" s="106" t="s">
        <v>19</v>
      </c>
      <c r="C22" s="26"/>
      <c r="D22" s="63" t="e">
        <f>SUM(D14:E21)</f>
        <v>#N/A</v>
      </c>
      <c r="E22" s="28"/>
    </row>
    <row r="23" ht="22" customHeight="1" spans="1:5">
      <c r="A23" s="23"/>
      <c r="B23" s="63" t="s">
        <v>55</v>
      </c>
      <c r="C23" s="28"/>
      <c r="D23" s="63">
        <v>0.9</v>
      </c>
      <c r="E23" s="28"/>
    </row>
    <row r="24" ht="22" customHeight="1" spans="1:6">
      <c r="A24" s="23"/>
      <c r="B24" s="64" t="s">
        <v>56</v>
      </c>
      <c r="C24" s="29"/>
      <c r="D24" s="107" t="s">
        <v>70</v>
      </c>
      <c r="E24" s="31"/>
      <c r="F24" s="1" t="e">
        <f>(D22-D14)*D23+D14</f>
        <v>#N/A</v>
      </c>
    </row>
    <row r="25" ht="26.15" customHeight="1" spans="1:5">
      <c r="A25" s="22" t="s">
        <v>58</v>
      </c>
      <c r="B25" s="22"/>
      <c r="C25" s="22"/>
      <c r="D25" s="22"/>
      <c r="E25" s="22"/>
    </row>
    <row r="26" ht="22" customHeight="1" spans="1:5">
      <c r="A26" s="32" t="s">
        <v>24</v>
      </c>
      <c r="B26" s="33" t="s">
        <v>25</v>
      </c>
      <c r="C26" s="34"/>
      <c r="D26" s="35" t="s">
        <v>26</v>
      </c>
      <c r="E26" s="34"/>
    </row>
    <row r="27" ht="22" customHeight="1" spans="1:5">
      <c r="A27" s="36"/>
      <c r="B27" s="33" t="s">
        <v>27</v>
      </c>
      <c r="C27" s="34"/>
      <c r="D27" s="35" t="s">
        <v>28</v>
      </c>
      <c r="E27" s="34"/>
    </row>
    <row r="28" ht="22" customHeight="1" spans="1:5">
      <c r="A28" s="36"/>
      <c r="B28" s="33" t="s">
        <v>29</v>
      </c>
      <c r="C28" s="34"/>
      <c r="D28" s="35" t="s">
        <v>30</v>
      </c>
      <c r="E28" s="34"/>
    </row>
    <row r="29" ht="22" customHeight="1" spans="1:5">
      <c r="A29" s="36"/>
      <c r="B29" s="33" t="s">
        <v>31</v>
      </c>
      <c r="C29" s="34"/>
      <c r="D29" s="35" t="s">
        <v>32</v>
      </c>
      <c r="E29" s="34"/>
    </row>
    <row r="30" ht="22" customHeight="1" spans="1:5">
      <c r="A30" s="36"/>
      <c r="B30" s="33"/>
      <c r="C30" s="34"/>
      <c r="D30" s="35" t="s">
        <v>33</v>
      </c>
      <c r="E30" s="34"/>
    </row>
    <row r="31" ht="22" customHeight="1" spans="1:5">
      <c r="A31" s="36"/>
      <c r="B31" s="33"/>
      <c r="C31" s="34"/>
      <c r="D31" s="35" t="s">
        <v>34</v>
      </c>
      <c r="E31" s="34"/>
    </row>
    <row r="32" ht="22" customHeight="1" spans="1:5">
      <c r="A32" s="36"/>
      <c r="B32" s="33" t="s">
        <v>35</v>
      </c>
      <c r="C32" s="34"/>
      <c r="D32" s="35" t="s">
        <v>36</v>
      </c>
      <c r="E32" s="34"/>
    </row>
    <row r="33" ht="22" customHeight="1" spans="1:5">
      <c r="A33" s="36"/>
      <c r="B33" s="33" t="s">
        <v>37</v>
      </c>
      <c r="C33" s="34"/>
      <c r="D33" s="35" t="s">
        <v>38</v>
      </c>
      <c r="E33" s="34"/>
    </row>
    <row r="34" ht="22" customHeight="1" spans="1:5">
      <c r="A34" s="36"/>
      <c r="B34" s="37" t="s">
        <v>39</v>
      </c>
      <c r="C34" s="38"/>
      <c r="D34" s="39" t="s">
        <v>40</v>
      </c>
      <c r="E34" s="38"/>
    </row>
    <row r="35" ht="22" customHeight="1" spans="1:5">
      <c r="A35" s="36"/>
      <c r="B35" s="37" t="s">
        <v>41</v>
      </c>
      <c r="C35" s="38"/>
      <c r="D35" s="39" t="s">
        <v>42</v>
      </c>
      <c r="E35" s="38"/>
    </row>
    <row r="36" ht="22" customHeight="1" spans="1:5">
      <c r="A36" s="36"/>
      <c r="B36" s="37" t="s">
        <v>43</v>
      </c>
      <c r="C36" s="38"/>
      <c r="D36" s="39" t="s">
        <v>44</v>
      </c>
      <c r="E36" s="38"/>
    </row>
    <row r="37" ht="22" customHeight="1" spans="1:5">
      <c r="A37" s="36"/>
      <c r="B37" s="37" t="s">
        <v>45</v>
      </c>
      <c r="C37" s="38"/>
      <c r="D37" s="39" t="s">
        <v>46</v>
      </c>
      <c r="E37" s="38"/>
    </row>
    <row r="38" ht="25" customHeight="1" spans="1:5">
      <c r="A38" s="40"/>
      <c r="B38" s="63" t="s">
        <v>47</v>
      </c>
      <c r="C38" s="28"/>
      <c r="D38" s="69" t="s">
        <v>48</v>
      </c>
      <c r="E38" s="70"/>
    </row>
    <row r="39" ht="83" customHeight="1" spans="1:5">
      <c r="A39" s="42" t="s">
        <v>49</v>
      </c>
      <c r="B39" s="43"/>
      <c r="C39" s="43"/>
      <c r="D39" s="43"/>
      <c r="E39" s="43"/>
    </row>
    <row r="40" ht="4.5" customHeight="1"/>
    <row r="41" ht="16.35" spans="1:5">
      <c r="A41" s="47"/>
      <c r="B41" s="47"/>
      <c r="C41" s="47"/>
      <c r="D41" s="47"/>
      <c r="E41" s="48"/>
    </row>
  </sheetData>
  <sheetProtection formatCells="0" insertHyperlinks="0" autoFilter="0"/>
  <mergeCells count="53">
    <mergeCell ref="A1:E1"/>
    <mergeCell ref="A2:E2"/>
    <mergeCell ref="A3:E3"/>
    <mergeCell ref="A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A25:E25"/>
    <mergeCell ref="B26:C26"/>
    <mergeCell ref="D26:E26"/>
    <mergeCell ref="B27:C27"/>
    <mergeCell ref="D27:E27"/>
    <mergeCell ref="B28:C28"/>
    <mergeCell ref="D28:E28"/>
    <mergeCell ref="D29:E29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B38:C38"/>
    <mergeCell ref="D38:E38"/>
    <mergeCell ref="A39:E39"/>
    <mergeCell ref="A13:A24"/>
    <mergeCell ref="A26:A38"/>
    <mergeCell ref="B29:C31"/>
  </mergeCells>
  <dataValidations count="5">
    <dataValidation type="list" allowBlank="1" showInputMessage="1" showErrorMessage="1" sqref="B6">
      <formula1>EV价格明细!$J$1:$J$4</formula1>
    </dataValidation>
    <dataValidation type="list" allowBlank="1" showInputMessage="1" showErrorMessage="1" sqref="B7 E8">
      <formula1>#REF!</formula1>
    </dataValidation>
    <dataValidation allowBlank="1" showInputMessage="1" showErrorMessage="1" sqref="B21:C21"/>
    <dataValidation type="list" allowBlank="1" showInputMessage="1" showErrorMessage="1" sqref="B9:B11 B15:C17">
      <formula1>EV价格明细!$A$3:$A$20</formula1>
    </dataValidation>
    <dataValidation type="list" allowBlank="1" showInputMessage="1" showErrorMessage="1" sqref="E9:E11 B18:C20">
      <formula1>EV价格明细!$F$3:$F$13</formula1>
    </dataValidation>
  </dataValidations>
  <hyperlinks>
    <hyperlink ref="A3" r:id="rId1" display="微信/电话：13249827686  邮箱: startedu86@163.com" tooltip="mailto:muqingenglish@163.com"/>
  </hyperlinks>
  <pageMargins left="0.75" right="0.75" top="1" bottom="1" header="0.509027777777778" footer="0.509027777777778"/>
  <pageSetup paperSize="9" scale="96" orientation="portrait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zoomScale="70" zoomScaleNormal="70" topLeftCell="A3" workbookViewId="0">
      <selection activeCell="A9" sqref="A9:C9"/>
    </sheetView>
  </sheetViews>
  <sheetFormatPr defaultColWidth="8.925" defaultRowHeight="15.6"/>
  <cols>
    <col min="1" max="1" width="28.2" style="1" customWidth="1"/>
    <col min="2" max="2" width="14.8333333333333" style="72" customWidth="1"/>
    <col min="3" max="3" width="55.3333333333333" style="1" customWidth="1"/>
    <col min="4" max="4" width="11.5083333333333" style="67" customWidth="1"/>
    <col min="5" max="5" width="6.66666666666667" style="1" customWidth="1"/>
    <col min="6" max="6" width="17.2583333333333" style="1" customWidth="1"/>
    <col min="7" max="7" width="23.9166666666667" style="1" customWidth="1"/>
    <col min="8" max="8" width="26.9166666666667" style="67" customWidth="1"/>
    <col min="9" max="16384" width="9" style="1"/>
  </cols>
  <sheetData>
    <row r="1" ht="30.6" spans="1:12">
      <c r="A1" s="73" t="s">
        <v>71</v>
      </c>
      <c r="B1" s="73"/>
      <c r="C1" s="73"/>
      <c r="D1" s="74"/>
      <c r="F1" s="73" t="s">
        <v>72</v>
      </c>
      <c r="G1" s="73"/>
      <c r="H1" s="74"/>
      <c r="J1" s="100" t="s">
        <v>73</v>
      </c>
      <c r="K1" s="101"/>
      <c r="L1" s="102"/>
    </row>
    <row r="2" s="71" customFormat="1" ht="25" customHeight="1" spans="1:10">
      <c r="A2" s="75" t="s">
        <v>52</v>
      </c>
      <c r="B2" s="76" t="s">
        <v>74</v>
      </c>
      <c r="C2" s="76"/>
      <c r="D2" s="77"/>
      <c r="F2" s="76" t="s">
        <v>52</v>
      </c>
      <c r="G2" s="76">
        <v>150</v>
      </c>
      <c r="H2" s="77"/>
      <c r="J2" s="71" t="s">
        <v>75</v>
      </c>
    </row>
    <row r="3" s="71" customFormat="1" ht="46" customHeight="1" spans="1:10">
      <c r="A3" s="75" t="s">
        <v>76</v>
      </c>
      <c r="B3" s="78" t="s">
        <v>77</v>
      </c>
      <c r="C3" s="75" t="s">
        <v>61</v>
      </c>
      <c r="D3" s="78" t="s">
        <v>78</v>
      </c>
      <c r="F3" s="78" t="s">
        <v>79</v>
      </c>
      <c r="G3" s="75" t="s">
        <v>80</v>
      </c>
      <c r="H3" s="78" t="s">
        <v>78</v>
      </c>
      <c r="J3" s="71" t="s">
        <v>81</v>
      </c>
    </row>
    <row r="4" ht="29" customHeight="1" spans="1:10">
      <c r="A4" s="79" t="s">
        <v>51</v>
      </c>
      <c r="B4" s="80">
        <v>980</v>
      </c>
      <c r="C4" s="79" t="s">
        <v>82</v>
      </c>
      <c r="D4" s="81" t="s">
        <v>83</v>
      </c>
      <c r="F4" s="82" t="s">
        <v>84</v>
      </c>
      <c r="G4" s="83">
        <v>1350</v>
      </c>
      <c r="H4" s="84" t="s">
        <v>85</v>
      </c>
      <c r="J4" s="71" t="s">
        <v>86</v>
      </c>
    </row>
    <row r="5" ht="29" customHeight="1" spans="1:8">
      <c r="A5" s="79" t="s">
        <v>87</v>
      </c>
      <c r="B5" s="80">
        <v>1170</v>
      </c>
      <c r="C5" s="79" t="s">
        <v>88</v>
      </c>
      <c r="D5" s="85"/>
      <c r="F5" s="82" t="s">
        <v>50</v>
      </c>
      <c r="G5" s="83">
        <v>990</v>
      </c>
      <c r="H5" s="86"/>
    </row>
    <row r="6" ht="29" customHeight="1" spans="1:8">
      <c r="A6" s="79" t="s">
        <v>89</v>
      </c>
      <c r="B6" s="80">
        <v>1350</v>
      </c>
      <c r="C6" s="79" t="s">
        <v>90</v>
      </c>
      <c r="D6" s="85"/>
      <c r="F6" s="82" t="s">
        <v>91</v>
      </c>
      <c r="G6" s="83">
        <v>910</v>
      </c>
      <c r="H6" s="87"/>
    </row>
    <row r="7" ht="29" customHeight="1" spans="1:8">
      <c r="A7" s="79" t="s">
        <v>10</v>
      </c>
      <c r="B7" s="80">
        <v>1100</v>
      </c>
      <c r="C7" s="79" t="s">
        <v>92</v>
      </c>
      <c r="D7" s="85"/>
      <c r="F7" s="82" t="s">
        <v>8</v>
      </c>
      <c r="G7" s="83">
        <v>860</v>
      </c>
      <c r="H7" s="87"/>
    </row>
    <row r="8" ht="29" customHeight="1" spans="1:8">
      <c r="A8" s="79" t="s">
        <v>93</v>
      </c>
      <c r="B8" s="80">
        <v>1240</v>
      </c>
      <c r="C8" s="79" t="s">
        <v>94</v>
      </c>
      <c r="D8" s="85"/>
      <c r="F8" s="82" t="s">
        <v>95</v>
      </c>
      <c r="G8" s="83">
        <v>940</v>
      </c>
      <c r="H8" s="84" t="s">
        <v>96</v>
      </c>
    </row>
    <row r="9" ht="29" customHeight="1" spans="1:8">
      <c r="A9" s="79" t="s">
        <v>97</v>
      </c>
      <c r="B9" s="80">
        <v>1100</v>
      </c>
      <c r="C9" s="79" t="s">
        <v>98</v>
      </c>
      <c r="D9" s="85"/>
      <c r="F9" s="82" t="s">
        <v>99</v>
      </c>
      <c r="G9" s="83">
        <v>860</v>
      </c>
      <c r="H9" s="88"/>
    </row>
    <row r="10" ht="29" customHeight="1" spans="1:8">
      <c r="A10" s="79" t="s">
        <v>100</v>
      </c>
      <c r="B10" s="80">
        <v>1100</v>
      </c>
      <c r="C10" s="79" t="s">
        <v>98</v>
      </c>
      <c r="D10" s="85"/>
      <c r="F10" s="82" t="s">
        <v>101</v>
      </c>
      <c r="G10" s="83">
        <v>810</v>
      </c>
      <c r="H10" s="88"/>
    </row>
    <row r="11" ht="29" customHeight="1" spans="1:8">
      <c r="A11" s="79" t="s">
        <v>68</v>
      </c>
      <c r="B11" s="80">
        <v>1100</v>
      </c>
      <c r="C11" s="79" t="s">
        <v>98</v>
      </c>
      <c r="D11" s="85"/>
      <c r="F11" s="89" t="s">
        <v>102</v>
      </c>
      <c r="G11" s="83">
        <v>1500</v>
      </c>
      <c r="H11" s="86"/>
    </row>
    <row r="12" ht="51" customHeight="1" spans="1:8">
      <c r="A12" s="75" t="s">
        <v>103</v>
      </c>
      <c r="B12" s="78" t="s">
        <v>77</v>
      </c>
      <c r="C12" s="75" t="s">
        <v>61</v>
      </c>
      <c r="D12" s="78" t="s">
        <v>78</v>
      </c>
      <c r="F12" s="89" t="s">
        <v>104</v>
      </c>
      <c r="G12" s="83">
        <v>1100</v>
      </c>
      <c r="H12" s="90"/>
    </row>
    <row r="13" ht="29" customHeight="1" spans="1:8">
      <c r="A13" s="79" t="s">
        <v>105</v>
      </c>
      <c r="B13" s="80">
        <v>930</v>
      </c>
      <c r="C13" s="79" t="s">
        <v>82</v>
      </c>
      <c r="D13" s="81" t="s">
        <v>106</v>
      </c>
      <c r="F13" s="89"/>
      <c r="G13" s="83"/>
      <c r="H13" s="90"/>
    </row>
    <row r="14" ht="29" customHeight="1" spans="1:6">
      <c r="A14" s="79" t="s">
        <v>63</v>
      </c>
      <c r="B14" s="80">
        <v>1120</v>
      </c>
      <c r="C14" s="79" t="s">
        <v>88</v>
      </c>
      <c r="D14" s="85"/>
      <c r="F14" s="91" t="s">
        <v>107</v>
      </c>
    </row>
    <row r="15" ht="36" customHeight="1" spans="1:8">
      <c r="A15" s="79" t="s">
        <v>108</v>
      </c>
      <c r="B15" s="80">
        <v>1300</v>
      </c>
      <c r="C15" s="79" t="s">
        <v>109</v>
      </c>
      <c r="D15" s="85"/>
      <c r="F15" s="92"/>
      <c r="G15" s="92"/>
      <c r="H15" s="92"/>
    </row>
    <row r="16" ht="29" customHeight="1" spans="1:4">
      <c r="A16" s="79" t="s">
        <v>110</v>
      </c>
      <c r="B16" s="80">
        <v>1050</v>
      </c>
      <c r="C16" s="79" t="s">
        <v>111</v>
      </c>
      <c r="D16" s="85"/>
    </row>
    <row r="17" ht="29" customHeight="1" spans="1:8">
      <c r="A17" s="79" t="s">
        <v>112</v>
      </c>
      <c r="B17" s="80">
        <v>1050</v>
      </c>
      <c r="C17" s="79" t="s">
        <v>111</v>
      </c>
      <c r="D17" s="85"/>
      <c r="F17" s="93"/>
      <c r="G17" s="93"/>
      <c r="H17" s="94"/>
    </row>
    <row r="18" ht="29" customHeight="1" spans="1:8">
      <c r="A18" s="79" t="s">
        <v>113</v>
      </c>
      <c r="B18" s="80">
        <v>1050</v>
      </c>
      <c r="C18" s="79" t="s">
        <v>111</v>
      </c>
      <c r="D18" s="85"/>
      <c r="F18" s="93"/>
      <c r="G18" s="93"/>
      <c r="H18" s="94"/>
    </row>
    <row r="19" ht="29" customHeight="1" spans="1:8">
      <c r="A19" s="95" t="s">
        <v>114</v>
      </c>
      <c r="B19" s="96">
        <v>1150</v>
      </c>
      <c r="C19" s="79" t="s">
        <v>115</v>
      </c>
      <c r="D19" s="85"/>
      <c r="F19" s="93"/>
      <c r="G19" s="93"/>
      <c r="H19" s="94"/>
    </row>
    <row r="20" ht="29" customHeight="1" spans="1:4">
      <c r="A20" s="95" t="s">
        <v>116</v>
      </c>
      <c r="B20" s="96">
        <v>850</v>
      </c>
      <c r="C20" s="79" t="s">
        <v>117</v>
      </c>
      <c r="D20" s="97"/>
    </row>
    <row r="21" ht="42" customHeight="1" spans="1:5">
      <c r="A21" s="98" t="s">
        <v>118</v>
      </c>
      <c r="B21" s="98"/>
      <c r="C21" s="98"/>
      <c r="D21" s="98"/>
      <c r="E21" s="93"/>
    </row>
    <row r="22" ht="44" customHeight="1" spans="1:5">
      <c r="A22" s="92" t="s">
        <v>119</v>
      </c>
      <c r="B22" s="92"/>
      <c r="C22" s="92"/>
      <c r="D22" s="92"/>
      <c r="E22" s="93"/>
    </row>
    <row r="23" ht="120" customHeight="1" spans="1:3">
      <c r="A23" s="99" t="s">
        <v>120</v>
      </c>
      <c r="B23" s="99"/>
      <c r="C23" s="99"/>
    </row>
    <row r="25" spans="7:8">
      <c r="G25" s="1">
        <f>--3422*7.304</f>
        <v>24994.288</v>
      </c>
      <c r="H25" s="67">
        <f>G25-4000</f>
        <v>20994.288</v>
      </c>
    </row>
    <row r="26" spans="7:7">
      <c r="G26" s="1">
        <f>--7.32*3422</f>
        <v>25049.04</v>
      </c>
    </row>
    <row r="27" spans="7:7">
      <c r="G27" s="1">
        <f>G26-G25</f>
        <v>54.7520000000004</v>
      </c>
    </row>
  </sheetData>
  <sheetProtection formatCells="0" insertHyperlinks="0" autoFilter="0"/>
  <mergeCells count="12">
    <mergeCell ref="A1:D1"/>
    <mergeCell ref="F1:H1"/>
    <mergeCell ref="B2:D2"/>
    <mergeCell ref="F2:H2"/>
    <mergeCell ref="F15:H15"/>
    <mergeCell ref="A21:D21"/>
    <mergeCell ref="A22:D22"/>
    <mergeCell ref="A23:C23"/>
    <mergeCell ref="D4:D11"/>
    <mergeCell ref="D13:D20"/>
    <mergeCell ref="H4:H5"/>
    <mergeCell ref="H8:H11"/>
  </mergeCells>
  <pageMargins left="0.75" right="0.75" top="1" bottom="1" header="0.509027777777778" footer="0.509027777777778"/>
  <pageSetup paperSize="9" orientation="portrait"/>
  <headerFooter alignWithMargins="0" scaleWithDoc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showGridLines="0" zoomScale="130" zoomScaleNormal="130" topLeftCell="A2" workbookViewId="0">
      <selection activeCell="D13" sqref="D13:E13"/>
    </sheetView>
  </sheetViews>
  <sheetFormatPr defaultColWidth="8.925" defaultRowHeight="15.6"/>
  <cols>
    <col min="1" max="1" width="10.8333333333333" style="1" customWidth="1"/>
    <col min="2" max="2" width="17.4166666666667" style="1" customWidth="1"/>
    <col min="3" max="3" width="20.4666666666667" style="1" customWidth="1"/>
    <col min="4" max="4" width="14.6" style="1" customWidth="1"/>
    <col min="5" max="5" width="21.4583333333333" style="2" customWidth="1"/>
    <col min="6" max="6" width="9.21666666666667" style="1"/>
    <col min="7" max="16384" width="9" style="1"/>
  </cols>
  <sheetData>
    <row r="1" ht="59.15" customHeight="1" spans="1:7">
      <c r="A1" s="45" t="s">
        <v>0</v>
      </c>
      <c r="B1" s="45"/>
      <c r="C1" s="45"/>
      <c r="D1" s="45"/>
      <c r="E1" s="45"/>
      <c r="F1" s="4"/>
      <c r="G1" s="4"/>
    </row>
    <row r="2" spans="1:7">
      <c r="A2" s="5"/>
      <c r="B2" s="5"/>
      <c r="C2" s="5"/>
      <c r="D2" s="5"/>
      <c r="E2" s="5"/>
      <c r="F2" s="6"/>
      <c r="G2" s="6"/>
    </row>
    <row r="3" spans="1:5">
      <c r="A3" s="7" t="s">
        <v>1</v>
      </c>
      <c r="B3" s="7"/>
      <c r="C3" s="7"/>
      <c r="D3" s="7"/>
      <c r="E3" s="7"/>
    </row>
    <row r="4" ht="8.15" customHeight="1" spans="1:5">
      <c r="A4" s="8"/>
      <c r="B4" s="8"/>
      <c r="C4" s="8"/>
      <c r="D4" s="8"/>
      <c r="E4" s="9"/>
    </row>
    <row r="5" ht="9" customHeight="1" spans="1:5">
      <c r="A5" s="46" t="s">
        <v>2</v>
      </c>
      <c r="B5" s="47"/>
      <c r="C5" s="47"/>
      <c r="D5" s="47"/>
      <c r="E5" s="48"/>
    </row>
    <row r="6" ht="22" customHeight="1" spans="1:5">
      <c r="A6" s="49" t="s">
        <v>3</v>
      </c>
      <c r="B6" s="49" t="s">
        <v>4</v>
      </c>
      <c r="C6" s="50"/>
      <c r="D6" s="50" t="s">
        <v>5</v>
      </c>
      <c r="E6" s="51">
        <v>45895</v>
      </c>
    </row>
    <row r="7" ht="22" customHeight="1" spans="1:5">
      <c r="A7" s="52" t="s">
        <v>6</v>
      </c>
      <c r="B7" s="53">
        <v>4</v>
      </c>
      <c r="C7" s="50"/>
      <c r="D7" s="50" t="s">
        <v>7</v>
      </c>
      <c r="E7" s="49" t="s">
        <v>91</v>
      </c>
    </row>
    <row r="8" s="44" customFormat="1" ht="22" customHeight="1" spans="1:5">
      <c r="A8" s="52" t="s">
        <v>9</v>
      </c>
      <c r="B8" s="54" t="s">
        <v>105</v>
      </c>
      <c r="C8" s="49" t="s">
        <v>121</v>
      </c>
      <c r="D8" s="55"/>
      <c r="E8" s="55"/>
    </row>
    <row r="9" ht="24" customHeight="1" spans="1:5">
      <c r="A9" s="56" t="s">
        <v>11</v>
      </c>
      <c r="B9" s="56"/>
      <c r="C9" s="56"/>
      <c r="D9" s="56"/>
      <c r="E9" s="56"/>
    </row>
    <row r="10" ht="22" customHeight="1" spans="1:5">
      <c r="A10" s="23" t="s">
        <v>12</v>
      </c>
      <c r="B10" s="57" t="s">
        <v>13</v>
      </c>
      <c r="C10" s="57"/>
      <c r="D10" s="58" t="s">
        <v>14</v>
      </c>
      <c r="E10" s="59"/>
    </row>
    <row r="11" ht="22" customHeight="1" spans="1:5">
      <c r="A11" s="23"/>
      <c r="B11" s="23" t="s">
        <v>15</v>
      </c>
      <c r="C11" s="23"/>
      <c r="D11" s="24">
        <v>100</v>
      </c>
      <c r="E11" s="25"/>
    </row>
    <row r="12" ht="22" customHeight="1" spans="1:5">
      <c r="A12" s="23"/>
      <c r="B12" s="23" t="s">
        <v>105</v>
      </c>
      <c r="C12" s="23"/>
      <c r="D12" s="24">
        <v>930</v>
      </c>
      <c r="E12" s="25"/>
    </row>
    <row r="13" ht="22" customHeight="1" spans="1:5">
      <c r="A13" s="23"/>
      <c r="B13" s="24" t="s">
        <v>122</v>
      </c>
      <c r="C13" s="25"/>
      <c r="D13" s="24">
        <v>910</v>
      </c>
      <c r="E13" s="25"/>
    </row>
    <row r="14" ht="35" customHeight="1" spans="1:10">
      <c r="A14" s="23"/>
      <c r="B14" s="60" t="s">
        <v>16</v>
      </c>
      <c r="C14" s="25"/>
      <c r="D14" s="24">
        <v>0</v>
      </c>
      <c r="E14" s="25"/>
      <c r="G14" s="1" t="s">
        <v>17</v>
      </c>
      <c r="J14" s="1">
        <f>40*6</f>
        <v>240</v>
      </c>
    </row>
    <row r="15" ht="35" customHeight="1" spans="1:5">
      <c r="A15" s="23"/>
      <c r="B15" s="61" t="s">
        <v>18</v>
      </c>
      <c r="C15" s="62"/>
      <c r="D15" s="63">
        <v>0</v>
      </c>
      <c r="E15" s="62"/>
    </row>
    <row r="16" ht="22" customHeight="1" spans="1:5">
      <c r="A16" s="23"/>
      <c r="B16" s="64" t="s">
        <v>19</v>
      </c>
      <c r="C16" s="29"/>
      <c r="D16" s="65">
        <f>SUM(D11:E15)</f>
        <v>1940</v>
      </c>
      <c r="E16" s="66"/>
    </row>
    <row r="17" ht="22" customHeight="1" spans="1:6">
      <c r="A17" s="23"/>
      <c r="B17" s="63" t="s">
        <v>20</v>
      </c>
      <c r="C17" s="28"/>
      <c r="D17" s="63">
        <v>0.95</v>
      </c>
      <c r="E17" s="28"/>
      <c r="F17" s="67">
        <f>(D12+D13+D14)*D17+D11+D15</f>
        <v>1848</v>
      </c>
    </row>
    <row r="18" ht="22" customHeight="1" spans="1:5">
      <c r="A18" s="23"/>
      <c r="B18" s="64" t="s">
        <v>21</v>
      </c>
      <c r="C18" s="29"/>
      <c r="D18" s="68" t="s">
        <v>123</v>
      </c>
      <c r="E18" s="31"/>
    </row>
    <row r="19" ht="26.15" customHeight="1" spans="1:5">
      <c r="A19" s="56" t="s">
        <v>23</v>
      </c>
      <c r="B19" s="56"/>
      <c r="C19" s="56"/>
      <c r="D19" s="56"/>
      <c r="E19" s="56"/>
    </row>
    <row r="20" ht="22" customHeight="1" spans="1:5">
      <c r="A20" s="32" t="s">
        <v>24</v>
      </c>
      <c r="B20" s="33" t="s">
        <v>25</v>
      </c>
      <c r="C20" s="34"/>
      <c r="D20" s="35" t="s">
        <v>26</v>
      </c>
      <c r="E20" s="34"/>
    </row>
    <row r="21" ht="22" customHeight="1" spans="1:5">
      <c r="A21" s="36"/>
      <c r="B21" s="33" t="s">
        <v>27</v>
      </c>
      <c r="C21" s="34"/>
      <c r="D21" s="35" t="s">
        <v>28</v>
      </c>
      <c r="E21" s="34"/>
    </row>
    <row r="22" ht="22" customHeight="1" spans="1:5">
      <c r="A22" s="36"/>
      <c r="B22" s="33" t="s">
        <v>29</v>
      </c>
      <c r="C22" s="34"/>
      <c r="D22" s="35" t="s">
        <v>30</v>
      </c>
      <c r="E22" s="34"/>
    </row>
    <row r="23" ht="22" customHeight="1" spans="1:5">
      <c r="A23" s="36"/>
      <c r="B23" s="33" t="s">
        <v>31</v>
      </c>
      <c r="C23" s="34"/>
      <c r="D23" s="35" t="s">
        <v>32</v>
      </c>
      <c r="E23" s="34"/>
    </row>
    <row r="24" ht="22" customHeight="1" spans="1:5">
      <c r="A24" s="36"/>
      <c r="B24" s="33"/>
      <c r="C24" s="34"/>
      <c r="D24" s="35" t="s">
        <v>33</v>
      </c>
      <c r="E24" s="34"/>
    </row>
    <row r="25" ht="22" customHeight="1" spans="1:5">
      <c r="A25" s="36"/>
      <c r="B25" s="33"/>
      <c r="C25" s="34"/>
      <c r="D25" s="35" t="s">
        <v>34</v>
      </c>
      <c r="E25" s="34"/>
    </row>
    <row r="26" ht="22" customHeight="1" spans="1:5">
      <c r="A26" s="36"/>
      <c r="B26" s="33" t="s">
        <v>35</v>
      </c>
      <c r="C26" s="34"/>
      <c r="D26" s="35" t="s">
        <v>36</v>
      </c>
      <c r="E26" s="34"/>
    </row>
    <row r="27" ht="22" customHeight="1" spans="1:5">
      <c r="A27" s="36"/>
      <c r="B27" s="33" t="s">
        <v>37</v>
      </c>
      <c r="C27" s="34"/>
      <c r="D27" s="35" t="s">
        <v>38</v>
      </c>
      <c r="E27" s="34"/>
    </row>
    <row r="28" ht="22" customHeight="1" spans="1:5">
      <c r="A28" s="36"/>
      <c r="B28" s="37" t="s">
        <v>39</v>
      </c>
      <c r="C28" s="38"/>
      <c r="D28" s="39" t="s">
        <v>40</v>
      </c>
      <c r="E28" s="38"/>
    </row>
    <row r="29" ht="22" customHeight="1" spans="1:5">
      <c r="A29" s="36"/>
      <c r="B29" s="37" t="s">
        <v>41</v>
      </c>
      <c r="C29" s="38"/>
      <c r="D29" s="39" t="s">
        <v>42</v>
      </c>
      <c r="E29" s="38"/>
    </row>
    <row r="30" ht="22" customHeight="1" spans="1:5">
      <c r="A30" s="36"/>
      <c r="B30" s="37" t="s">
        <v>43</v>
      </c>
      <c r="C30" s="38"/>
      <c r="D30" s="39" t="s">
        <v>44</v>
      </c>
      <c r="E30" s="38"/>
    </row>
    <row r="31" ht="22" customHeight="1" spans="1:5">
      <c r="A31" s="36"/>
      <c r="B31" s="37" t="s">
        <v>45</v>
      </c>
      <c r="C31" s="38"/>
      <c r="D31" s="39" t="s">
        <v>46</v>
      </c>
      <c r="E31" s="38"/>
    </row>
    <row r="32" ht="25" customHeight="1" spans="1:5">
      <c r="A32" s="40"/>
      <c r="B32" s="63" t="s">
        <v>47</v>
      </c>
      <c r="C32" s="28"/>
      <c r="D32" s="69" t="s">
        <v>48</v>
      </c>
      <c r="E32" s="70"/>
    </row>
    <row r="33" ht="83" customHeight="1" spans="1:5">
      <c r="A33" s="42" t="s">
        <v>49</v>
      </c>
      <c r="B33" s="43"/>
      <c r="C33" s="43"/>
      <c r="D33" s="43"/>
      <c r="E33" s="43"/>
    </row>
    <row r="34" ht="4.5" customHeight="1"/>
    <row r="35" ht="16.35" spans="1:5">
      <c r="A35" s="47"/>
      <c r="B35" s="47"/>
      <c r="C35" s="47"/>
      <c r="D35" s="47"/>
      <c r="E35" s="48"/>
    </row>
    <row r="37" spans="8:10">
      <c r="H37" s="1">
        <v>5000</v>
      </c>
      <c r="I37" s="1">
        <v>9.29</v>
      </c>
      <c r="J37" s="1">
        <f>H37*I37</f>
        <v>46450</v>
      </c>
    </row>
    <row r="38" spans="8:10">
      <c r="H38" s="1">
        <v>5000</v>
      </c>
      <c r="I38" s="1">
        <v>9</v>
      </c>
      <c r="J38" s="1">
        <f>H38*I38</f>
        <v>45000</v>
      </c>
    </row>
  </sheetData>
  <sheetProtection formatCells="0" insertHyperlinks="0" autoFilter="0"/>
  <mergeCells count="47">
    <mergeCell ref="A1:E1"/>
    <mergeCell ref="A2:E2"/>
    <mergeCell ref="A3:E3"/>
    <mergeCell ref="A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A19:E19"/>
    <mergeCell ref="B20:C20"/>
    <mergeCell ref="D20:E20"/>
    <mergeCell ref="B21:C21"/>
    <mergeCell ref="D21:E21"/>
    <mergeCell ref="B22:C22"/>
    <mergeCell ref="D22:E22"/>
    <mergeCell ref="D23:E23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B32:C32"/>
    <mergeCell ref="D32:E32"/>
    <mergeCell ref="A33:E33"/>
    <mergeCell ref="A10:A18"/>
    <mergeCell ref="A20:A32"/>
    <mergeCell ref="B23:C25"/>
  </mergeCells>
  <dataValidations count="4">
    <dataValidation type="list" allowBlank="1" showInputMessage="1" showErrorMessage="1" sqref="B6">
      <formula1>EV价格明细!$J$1:$J$4</formula1>
    </dataValidation>
    <dataValidation type="list" allowBlank="1" showInputMessage="1" showErrorMessage="1" sqref="E7">
      <formula1>EV价格明细!$F$3:$F$13</formula1>
    </dataValidation>
    <dataValidation type="list" allowBlank="1" showInputMessage="1" showErrorMessage="1" sqref="B8 B12:C12">
      <formula1>EV价格明细!$A$3:$A$20</formula1>
    </dataValidation>
    <dataValidation allowBlank="1" showInputMessage="1" showErrorMessage="1" sqref="B14:C14"/>
  </dataValidations>
  <hyperlinks>
    <hyperlink ref="A3" r:id="rId1" display="微信/电话：13249827686  邮箱: startedu86@163.com" tooltip="mailto:muqingenglish@163.com"/>
  </hyperlinks>
  <pageMargins left="0.375" right="0.375" top="0.5" bottom="0.5" header="0.25" footer="0.25"/>
  <pageSetup paperSize="9" orientation="portrait"/>
  <headerFooter alignWithMargins="0" scaleWithDoc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showGridLines="0" workbookViewId="0">
      <selection activeCell="B16" sqref="B16:C16"/>
    </sheetView>
  </sheetViews>
  <sheetFormatPr defaultColWidth="8.925" defaultRowHeight="15.6" outlineLevelCol="6"/>
  <cols>
    <col min="1" max="1" width="10.8333333333333" style="1" customWidth="1"/>
    <col min="2" max="2" width="12.7416666666667" style="1" customWidth="1"/>
    <col min="3" max="3" width="13.6666666666667" style="1" customWidth="1"/>
    <col min="4" max="4" width="18.4166666666667" style="1" customWidth="1"/>
    <col min="5" max="5" width="11.2" style="2" customWidth="1"/>
    <col min="6" max="16384" width="9" style="1"/>
  </cols>
  <sheetData>
    <row r="1" ht="59.15" customHeight="1" spans="1:7">
      <c r="A1" s="3" t="s">
        <v>0</v>
      </c>
      <c r="B1" s="3"/>
      <c r="C1" s="3"/>
      <c r="D1" s="3"/>
      <c r="E1" s="3"/>
      <c r="F1" s="4"/>
      <c r="G1" s="4"/>
    </row>
    <row r="2" spans="1:7">
      <c r="A2" s="5"/>
      <c r="B2" s="5"/>
      <c r="C2" s="5"/>
      <c r="D2" s="5"/>
      <c r="E2" s="5"/>
      <c r="F2" s="6"/>
      <c r="G2" s="6"/>
    </row>
    <row r="3" spans="1:5">
      <c r="A3" s="7" t="s">
        <v>124</v>
      </c>
      <c r="B3" s="7"/>
      <c r="C3" s="7"/>
      <c r="D3" s="7"/>
      <c r="E3" s="7"/>
    </row>
    <row r="4" ht="8.15" customHeight="1" spans="1:5">
      <c r="A4" s="8"/>
      <c r="B4" s="8"/>
      <c r="C4" s="8"/>
      <c r="D4" s="8"/>
      <c r="E4" s="9"/>
    </row>
    <row r="5" ht="9" customHeight="1" spans="1:1">
      <c r="A5" s="10" t="s">
        <v>2</v>
      </c>
    </row>
    <row r="6" ht="22" customHeight="1" spans="1:5">
      <c r="A6" s="11" t="s">
        <v>3</v>
      </c>
      <c r="B6" s="11" t="s">
        <v>4</v>
      </c>
      <c r="C6" s="12"/>
      <c r="D6" s="12" t="s">
        <v>5</v>
      </c>
      <c r="E6" s="13">
        <v>45064</v>
      </c>
    </row>
    <row r="7" customFormat="1" ht="6" customHeight="1" spans="1:5">
      <c r="A7" s="14"/>
      <c r="B7" s="14"/>
      <c r="C7" s="15"/>
      <c r="D7" s="15"/>
      <c r="E7" s="16"/>
    </row>
    <row r="8" customFormat="1" ht="22" customHeight="1" spans="1:5">
      <c r="A8" s="17" t="s">
        <v>59</v>
      </c>
      <c r="B8" s="11" t="s">
        <v>60</v>
      </c>
      <c r="C8" s="11" t="s">
        <v>61</v>
      </c>
      <c r="D8" s="12"/>
      <c r="E8" s="12" t="s">
        <v>62</v>
      </c>
    </row>
    <row r="9" customFormat="1" ht="22" customHeight="1" spans="1:5">
      <c r="A9" s="18">
        <v>4</v>
      </c>
      <c r="B9" s="19" t="s">
        <v>125</v>
      </c>
      <c r="C9" s="20" t="e">
        <f>VLOOKUP($B$9,EV价格明细!A3:C20,3,FALSE)</f>
        <v>#N/A</v>
      </c>
      <c r="D9" s="12"/>
      <c r="E9" s="21" t="s">
        <v>50</v>
      </c>
    </row>
    <row r="10" customFormat="1" ht="22" customHeight="1" spans="1:5">
      <c r="A10" s="18">
        <v>4</v>
      </c>
      <c r="B10" s="19" t="s">
        <v>63</v>
      </c>
      <c r="C10" s="20" t="str">
        <f>VLOOKUP($B$10,EV价格明细!A4:C21,3,FALSE)</f>
        <v>6节一对一+1节小团体+1节大团体+选修课</v>
      </c>
      <c r="D10" s="12"/>
      <c r="E10" s="21" t="s">
        <v>50</v>
      </c>
    </row>
    <row r="11" ht="24" customHeight="1" spans="1:5">
      <c r="A11" s="22" t="s">
        <v>11</v>
      </c>
      <c r="B11" s="22"/>
      <c r="C11" s="22"/>
      <c r="D11" s="22"/>
      <c r="E11" s="22"/>
    </row>
    <row r="12" ht="22" customHeight="1" spans="1:5">
      <c r="A12" s="23" t="s">
        <v>12</v>
      </c>
      <c r="B12" s="23" t="s">
        <v>13</v>
      </c>
      <c r="C12" s="23"/>
      <c r="D12" s="24" t="s">
        <v>14</v>
      </c>
      <c r="E12" s="25"/>
    </row>
    <row r="13" ht="22" customHeight="1" spans="1:5">
      <c r="A13" s="23"/>
      <c r="B13" s="23" t="s">
        <v>52</v>
      </c>
      <c r="C13" s="23"/>
      <c r="D13" s="24">
        <v>100</v>
      </c>
      <c r="E13" s="25"/>
    </row>
    <row r="14" ht="22" customHeight="1" spans="1:5">
      <c r="A14" s="23"/>
      <c r="B14" s="23" t="s">
        <v>125</v>
      </c>
      <c r="C14" s="23"/>
      <c r="D14" s="24" t="e">
        <f>VLOOKUP($B14,EV价格明细!A3:C20,2,FALSE)*(A9/4)</f>
        <v>#N/A</v>
      </c>
      <c r="E14" s="25"/>
    </row>
    <row r="15" ht="22" customHeight="1" spans="1:5">
      <c r="A15" s="23"/>
      <c r="B15" s="23" t="s">
        <v>63</v>
      </c>
      <c r="C15" s="23"/>
      <c r="D15" s="24">
        <f>VLOOKUP($B15,EV价格明细!A4:C21,2,FALSE)*(A10/4)</f>
        <v>1120</v>
      </c>
      <c r="E15" s="25"/>
    </row>
    <row r="16" ht="22" customHeight="1" spans="1:5">
      <c r="A16" s="23"/>
      <c r="B16" s="24" t="s">
        <v>126</v>
      </c>
      <c r="C16" s="25"/>
      <c r="D16" s="24">
        <v>345</v>
      </c>
      <c r="E16" s="25"/>
    </row>
    <row r="17" ht="22" customHeight="1" spans="1:5">
      <c r="A17" s="23"/>
      <c r="B17" s="24" t="s">
        <v>127</v>
      </c>
      <c r="C17" s="25"/>
      <c r="D17" s="24">
        <v>667.5</v>
      </c>
      <c r="E17" s="25"/>
    </row>
    <row r="18" ht="22" customHeight="1" spans="1:5">
      <c r="A18" s="23"/>
      <c r="B18" s="24" t="s">
        <v>50</v>
      </c>
      <c r="C18" s="25"/>
      <c r="D18" s="24">
        <f>VLOOKUP($B18,EV价格明细!F5:G13,2,FALSE)*(A10/4)</f>
        <v>990</v>
      </c>
      <c r="E18" s="25"/>
    </row>
    <row r="19" ht="22" customHeight="1" spans="1:5">
      <c r="A19" s="23"/>
      <c r="B19" s="24" t="s">
        <v>128</v>
      </c>
      <c r="C19" s="25"/>
      <c r="D19" s="24">
        <v>25</v>
      </c>
      <c r="E19" s="25"/>
    </row>
    <row r="20" ht="22" customHeight="1" spans="1:5">
      <c r="A20" s="23"/>
      <c r="B20" s="26" t="s">
        <v>19</v>
      </c>
      <c r="C20" s="26"/>
      <c r="D20" s="27" t="e">
        <f>SUM(D13:E19)</f>
        <v>#N/A</v>
      </c>
      <c r="E20" s="28"/>
    </row>
    <row r="21" ht="22" customHeight="1" spans="1:5">
      <c r="A21" s="23"/>
      <c r="B21" s="27" t="s">
        <v>55</v>
      </c>
      <c r="C21" s="28"/>
      <c r="D21" s="27">
        <v>0.9</v>
      </c>
      <c r="E21" s="28"/>
    </row>
    <row r="22" ht="22" customHeight="1" spans="1:6">
      <c r="A22" s="23"/>
      <c r="B22" s="29" t="s">
        <v>56</v>
      </c>
      <c r="C22" s="29"/>
      <c r="D22" s="30" t="s">
        <v>129</v>
      </c>
      <c r="E22" s="31"/>
      <c r="F22" s="1" t="e">
        <f>D20*D21</f>
        <v>#N/A</v>
      </c>
    </row>
    <row r="23" ht="26.15" customHeight="1" spans="1:5">
      <c r="A23" s="22" t="s">
        <v>130</v>
      </c>
      <c r="B23" s="22"/>
      <c r="C23" s="22"/>
      <c r="D23" s="22"/>
      <c r="E23" s="22"/>
    </row>
    <row r="24" ht="22" customHeight="1" spans="1:5">
      <c r="A24" s="32" t="s">
        <v>24</v>
      </c>
      <c r="B24" s="33" t="s">
        <v>131</v>
      </c>
      <c r="C24" s="34"/>
      <c r="D24" s="35" t="s">
        <v>132</v>
      </c>
      <c r="E24" s="34"/>
    </row>
    <row r="25" ht="22" customHeight="1" spans="1:5">
      <c r="A25" s="36"/>
      <c r="B25" s="33" t="s">
        <v>133</v>
      </c>
      <c r="C25" s="34"/>
      <c r="D25" s="35" t="s">
        <v>134</v>
      </c>
      <c r="E25" s="34"/>
    </row>
    <row r="26" ht="22" customHeight="1" spans="1:5">
      <c r="A26" s="36"/>
      <c r="B26" s="33" t="s">
        <v>135</v>
      </c>
      <c r="C26" s="34"/>
      <c r="D26" s="35" t="s">
        <v>44</v>
      </c>
      <c r="E26" s="34"/>
    </row>
    <row r="27" ht="22" customHeight="1" spans="1:5">
      <c r="A27" s="36"/>
      <c r="B27" s="33" t="s">
        <v>136</v>
      </c>
      <c r="C27" s="34"/>
      <c r="D27" s="35" t="s">
        <v>137</v>
      </c>
      <c r="E27" s="34"/>
    </row>
    <row r="28" ht="22" customHeight="1" spans="1:5">
      <c r="A28" s="36"/>
      <c r="B28" s="33" t="s">
        <v>138</v>
      </c>
      <c r="C28" s="34"/>
      <c r="D28" s="35" t="s">
        <v>139</v>
      </c>
      <c r="E28" s="34"/>
    </row>
    <row r="29" ht="18.15" spans="1:5">
      <c r="A29" s="36"/>
      <c r="B29" s="37" t="s">
        <v>140</v>
      </c>
      <c r="C29" s="38"/>
      <c r="D29" s="39" t="s">
        <v>141</v>
      </c>
      <c r="E29" s="38"/>
    </row>
    <row r="30" ht="18.15" spans="1:5">
      <c r="A30" s="36"/>
      <c r="B30" s="37" t="s">
        <v>142</v>
      </c>
      <c r="C30" s="38"/>
      <c r="D30" s="39" t="s">
        <v>143</v>
      </c>
      <c r="E30" s="38"/>
    </row>
    <row r="31" ht="18.15" spans="1:5">
      <c r="A31" s="36"/>
      <c r="B31" s="37" t="s">
        <v>144</v>
      </c>
      <c r="C31" s="38"/>
      <c r="D31" s="39" t="s">
        <v>44</v>
      </c>
      <c r="E31" s="38"/>
    </row>
    <row r="32" ht="25" customHeight="1" spans="1:5">
      <c r="A32" s="40"/>
      <c r="B32" s="27" t="s">
        <v>47</v>
      </c>
      <c r="C32" s="28"/>
      <c r="D32" s="41" t="s">
        <v>145</v>
      </c>
      <c r="E32" s="28"/>
    </row>
    <row r="33" ht="83" customHeight="1" spans="1:5">
      <c r="A33" s="42" t="s">
        <v>146</v>
      </c>
      <c r="B33" s="43"/>
      <c r="C33" s="43"/>
      <c r="D33" s="43"/>
      <c r="E33" s="43"/>
    </row>
    <row r="34" ht="4.5" customHeight="1" spans="1:5">
      <c r="A34" s="8"/>
      <c r="B34" s="8"/>
      <c r="C34" s="8"/>
      <c r="D34" s="8"/>
      <c r="E34" s="9"/>
    </row>
    <row r="35" ht="16.35"/>
  </sheetData>
  <sheetProtection formatCells="0" insertHyperlinks="0" autoFilter="0"/>
  <mergeCells count="48">
    <mergeCell ref="A1:E1"/>
    <mergeCell ref="A2:E2"/>
    <mergeCell ref="A3:E3"/>
    <mergeCell ref="A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A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A33:E33"/>
    <mergeCell ref="A12:A22"/>
    <mergeCell ref="A24:A32"/>
  </mergeCells>
  <dataValidations count="5">
    <dataValidation type="list" allowBlank="1" showInputMessage="1" showErrorMessage="1" sqref="B6">
      <formula1>EV价格明细!$J$1:$J$4</formula1>
    </dataValidation>
    <dataValidation type="list" allowBlank="1" showInputMessage="1" showErrorMessage="1" sqref="B7 E8">
      <formula1>#REF!</formula1>
    </dataValidation>
    <dataValidation type="list" allowBlank="1" showInputMessage="1" showErrorMessage="1" sqref="B18:C18 E9:E10">
      <formula1>EV价格明细!$F$3:$F$13</formula1>
    </dataValidation>
    <dataValidation allowBlank="1" showInputMessage="1" showErrorMessage="1" sqref="B19:C19 B16:C17"/>
    <dataValidation type="list" allowBlank="1" showInputMessage="1" showErrorMessage="1" sqref="B9:B10 B14:C15">
      <formula1>EV价格明细!$A$3:$A$20</formula1>
    </dataValidation>
  </dataValidations>
  <hyperlinks>
    <hyperlink ref="A3" r:id="rId1" display="微信/电话：13249827686  邮箱: xuezhizhou000@163.com" tooltip="mailto:muqingenglish@163.com"/>
  </hyperlinks>
  <pageMargins left="0.75" right="0.75" top="1" bottom="1" header="0.509027777777778" footer="0.509027777777778"/>
  <pageSetup paperSize="9" scale="96" orientation="portrait"/>
  <headerFooter alignWithMargins="0" scaleWithDoc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showGridLines="0" workbookViewId="0">
      <selection activeCell="H9" sqref="H9"/>
    </sheetView>
  </sheetViews>
  <sheetFormatPr defaultColWidth="8.925" defaultRowHeight="15.6" outlineLevelCol="6"/>
  <cols>
    <col min="1" max="1" width="10.8333333333333" style="1" customWidth="1"/>
    <col min="2" max="2" width="12.7416666666667" style="1" customWidth="1"/>
    <col min="3" max="3" width="13.6666666666667" style="1" customWidth="1"/>
    <col min="4" max="4" width="18.4166666666667" style="1" customWidth="1"/>
    <col min="5" max="5" width="11.2" style="2" customWidth="1"/>
    <col min="6" max="16384" width="9" style="1"/>
  </cols>
  <sheetData>
    <row r="1" ht="59.15" customHeight="1" spans="1:7">
      <c r="A1" s="3" t="s">
        <v>0</v>
      </c>
      <c r="B1" s="3"/>
      <c r="C1" s="3"/>
      <c r="D1" s="3"/>
      <c r="E1" s="3"/>
      <c r="F1" s="4"/>
      <c r="G1" s="4"/>
    </row>
    <row r="2" spans="1:7">
      <c r="A2" s="5"/>
      <c r="B2" s="5"/>
      <c r="C2" s="5"/>
      <c r="D2" s="5"/>
      <c r="E2" s="5"/>
      <c r="F2" s="6"/>
      <c r="G2" s="6"/>
    </row>
    <row r="3" spans="1:5">
      <c r="A3" s="7" t="s">
        <v>124</v>
      </c>
      <c r="B3" s="7"/>
      <c r="C3" s="7"/>
      <c r="D3" s="7"/>
      <c r="E3" s="7"/>
    </row>
    <row r="4" ht="8.15" customHeight="1" spans="1:5">
      <c r="A4" s="8"/>
      <c r="B4" s="8"/>
      <c r="C4" s="8"/>
      <c r="D4" s="8"/>
      <c r="E4" s="9"/>
    </row>
    <row r="5" ht="9" customHeight="1" spans="1:1">
      <c r="A5" s="10" t="s">
        <v>2</v>
      </c>
    </row>
    <row r="6" ht="22" customHeight="1" spans="1:5">
      <c r="A6" s="11" t="s">
        <v>3</v>
      </c>
      <c r="B6" s="11" t="s">
        <v>4</v>
      </c>
      <c r="C6" s="12"/>
      <c r="D6" s="12" t="s">
        <v>5</v>
      </c>
      <c r="E6" s="13">
        <v>45072</v>
      </c>
    </row>
    <row r="7" customFormat="1" ht="6" customHeight="1" spans="1:5">
      <c r="A7" s="14"/>
      <c r="B7" s="14"/>
      <c r="C7" s="15"/>
      <c r="D7" s="15"/>
      <c r="E7" s="16"/>
    </row>
    <row r="8" customFormat="1" ht="22" customHeight="1" spans="1:5">
      <c r="A8" s="17" t="s">
        <v>59</v>
      </c>
      <c r="B8" s="11" t="s">
        <v>60</v>
      </c>
      <c r="C8" s="11" t="s">
        <v>61</v>
      </c>
      <c r="D8" s="12"/>
      <c r="E8" s="12" t="s">
        <v>62</v>
      </c>
    </row>
    <row r="9" customFormat="1" ht="22" customHeight="1" spans="1:5">
      <c r="A9" s="18">
        <v>4</v>
      </c>
      <c r="B9" s="19" t="s">
        <v>125</v>
      </c>
      <c r="C9" s="20" t="e">
        <f>VLOOKUP($B$9,EV价格明细!A3:C20,3,FALSE)</f>
        <v>#N/A</v>
      </c>
      <c r="D9" s="12"/>
      <c r="E9" s="21" t="s">
        <v>50</v>
      </c>
    </row>
    <row r="10" customFormat="1" ht="22" customHeight="1" spans="1:5">
      <c r="A10" s="18">
        <v>4</v>
      </c>
      <c r="B10" s="19" t="s">
        <v>105</v>
      </c>
      <c r="C10" s="20" t="str">
        <f>VLOOKUP($B$10,EV价格明细!A4:C21,3,FALSE)</f>
        <v>4节一对一+2小团体课+2节大团体课+选修课</v>
      </c>
      <c r="D10" s="12"/>
      <c r="E10" s="21" t="s">
        <v>50</v>
      </c>
    </row>
    <row r="11" ht="24" customHeight="1" spans="1:5">
      <c r="A11" s="22" t="s">
        <v>11</v>
      </c>
      <c r="B11" s="22"/>
      <c r="C11" s="22"/>
      <c r="D11" s="22"/>
      <c r="E11" s="22"/>
    </row>
    <row r="12" ht="22" customHeight="1" spans="1:5">
      <c r="A12" s="23" t="s">
        <v>12</v>
      </c>
      <c r="B12" s="23" t="s">
        <v>13</v>
      </c>
      <c r="C12" s="23"/>
      <c r="D12" s="24" t="s">
        <v>14</v>
      </c>
      <c r="E12" s="25"/>
    </row>
    <row r="13" ht="22" customHeight="1" spans="1:5">
      <c r="A13" s="23"/>
      <c r="B13" s="23" t="s">
        <v>52</v>
      </c>
      <c r="C13" s="23"/>
      <c r="D13" s="24">
        <v>200</v>
      </c>
      <c r="E13" s="25"/>
    </row>
    <row r="14" ht="22" customHeight="1" spans="1:5">
      <c r="A14" s="23"/>
      <c r="B14" s="23" t="s">
        <v>125</v>
      </c>
      <c r="C14" s="23"/>
      <c r="D14" s="24" t="e">
        <f>VLOOKUP($B14,EV价格明细!A3:C20,2,FALSE)*(A9/4)</f>
        <v>#N/A</v>
      </c>
      <c r="E14" s="25"/>
    </row>
    <row r="15" ht="22" customHeight="1" spans="1:5">
      <c r="A15" s="23"/>
      <c r="B15" s="23" t="s">
        <v>105</v>
      </c>
      <c r="C15" s="23"/>
      <c r="D15" s="24">
        <f>VLOOKUP($B15,EV价格明细!A4:C21,2,FALSE)*(A10/4)</f>
        <v>930</v>
      </c>
      <c r="E15" s="25"/>
    </row>
    <row r="16" ht="22" customHeight="1" spans="1:5">
      <c r="A16" s="23"/>
      <c r="B16" s="24" t="s">
        <v>126</v>
      </c>
      <c r="C16" s="25"/>
      <c r="D16" s="24">
        <v>345</v>
      </c>
      <c r="E16" s="25"/>
    </row>
    <row r="17" ht="22" customHeight="1" spans="1:5">
      <c r="A17" s="23"/>
      <c r="B17" s="24" t="s">
        <v>127</v>
      </c>
      <c r="C17" s="25"/>
      <c r="D17" s="24">
        <v>667.5</v>
      </c>
      <c r="E17" s="25"/>
    </row>
    <row r="18" ht="22" customHeight="1" spans="1:5">
      <c r="A18" s="23"/>
      <c r="B18" s="24" t="s">
        <v>50</v>
      </c>
      <c r="C18" s="25"/>
      <c r="D18" s="24">
        <f>VLOOKUP($B18,EV价格明细!F5:G13,2,FALSE)*(A10/4)</f>
        <v>990</v>
      </c>
      <c r="E18" s="25"/>
    </row>
    <row r="19" ht="22" customHeight="1" spans="1:5">
      <c r="A19" s="23"/>
      <c r="B19" s="24" t="s">
        <v>128</v>
      </c>
      <c r="C19" s="25"/>
      <c r="D19" s="24">
        <v>25</v>
      </c>
      <c r="E19" s="25"/>
    </row>
    <row r="20" ht="22" customHeight="1" spans="1:5">
      <c r="A20" s="23"/>
      <c r="B20" s="26" t="s">
        <v>19</v>
      </c>
      <c r="C20" s="26"/>
      <c r="D20" s="27" t="e">
        <f>SUM(D13:E19)</f>
        <v>#N/A</v>
      </c>
      <c r="E20" s="28"/>
    </row>
    <row r="21" ht="22" customHeight="1" spans="1:5">
      <c r="A21" s="23"/>
      <c r="B21" s="27" t="s">
        <v>55</v>
      </c>
      <c r="C21" s="28"/>
      <c r="D21" s="27">
        <v>0.9</v>
      </c>
      <c r="E21" s="28"/>
    </row>
    <row r="22" ht="22" customHeight="1" spans="1:6">
      <c r="A22" s="23"/>
      <c r="B22" s="29" t="s">
        <v>56</v>
      </c>
      <c r="C22" s="29"/>
      <c r="D22" s="30" t="s">
        <v>147</v>
      </c>
      <c r="E22" s="31"/>
      <c r="F22" s="1" t="e">
        <f>D20*D21</f>
        <v>#N/A</v>
      </c>
    </row>
    <row r="23" ht="26.15" customHeight="1" spans="1:5">
      <c r="A23" s="22" t="s">
        <v>130</v>
      </c>
      <c r="B23" s="22"/>
      <c r="C23" s="22"/>
      <c r="D23" s="22"/>
      <c r="E23" s="22"/>
    </row>
    <row r="24" ht="22" customHeight="1" spans="1:5">
      <c r="A24" s="32" t="s">
        <v>24</v>
      </c>
      <c r="B24" s="33" t="s">
        <v>131</v>
      </c>
      <c r="C24" s="34"/>
      <c r="D24" s="35" t="s">
        <v>132</v>
      </c>
      <c r="E24" s="34"/>
    </row>
    <row r="25" ht="22" customHeight="1" spans="1:5">
      <c r="A25" s="36"/>
      <c r="B25" s="33" t="s">
        <v>133</v>
      </c>
      <c r="C25" s="34"/>
      <c r="D25" s="35" t="s">
        <v>134</v>
      </c>
      <c r="E25" s="34"/>
    </row>
    <row r="26" ht="22" customHeight="1" spans="1:5">
      <c r="A26" s="36"/>
      <c r="B26" s="33" t="s">
        <v>135</v>
      </c>
      <c r="C26" s="34"/>
      <c r="D26" s="35" t="s">
        <v>44</v>
      </c>
      <c r="E26" s="34"/>
    </row>
    <row r="27" ht="22" customHeight="1" spans="1:5">
      <c r="A27" s="36"/>
      <c r="B27" s="33" t="s">
        <v>136</v>
      </c>
      <c r="C27" s="34"/>
      <c r="D27" s="35" t="s">
        <v>137</v>
      </c>
      <c r="E27" s="34"/>
    </row>
    <row r="28" ht="22" customHeight="1" spans="1:5">
      <c r="A28" s="36"/>
      <c r="B28" s="33" t="s">
        <v>138</v>
      </c>
      <c r="C28" s="34"/>
      <c r="D28" s="35" t="s">
        <v>139</v>
      </c>
      <c r="E28" s="34"/>
    </row>
    <row r="29" ht="18.15" spans="1:5">
      <c r="A29" s="36"/>
      <c r="B29" s="37" t="s">
        <v>140</v>
      </c>
      <c r="C29" s="38"/>
      <c r="D29" s="39" t="s">
        <v>141</v>
      </c>
      <c r="E29" s="38"/>
    </row>
    <row r="30" ht="18.15" spans="1:5">
      <c r="A30" s="36"/>
      <c r="B30" s="37" t="s">
        <v>142</v>
      </c>
      <c r="C30" s="38"/>
      <c r="D30" s="39" t="s">
        <v>143</v>
      </c>
      <c r="E30" s="38"/>
    </row>
    <row r="31" ht="18.15" spans="1:5">
      <c r="A31" s="36"/>
      <c r="B31" s="37" t="s">
        <v>144</v>
      </c>
      <c r="C31" s="38"/>
      <c r="D31" s="39" t="s">
        <v>44</v>
      </c>
      <c r="E31" s="38"/>
    </row>
    <row r="32" ht="25" customHeight="1" spans="1:5">
      <c r="A32" s="40"/>
      <c r="B32" s="27" t="s">
        <v>47</v>
      </c>
      <c r="C32" s="28"/>
      <c r="D32" s="41" t="s">
        <v>145</v>
      </c>
      <c r="E32" s="28"/>
    </row>
    <row r="33" ht="83" customHeight="1" spans="1:5">
      <c r="A33" s="42" t="s">
        <v>146</v>
      </c>
      <c r="B33" s="43"/>
      <c r="C33" s="43"/>
      <c r="D33" s="43"/>
      <c r="E33" s="43"/>
    </row>
    <row r="34" ht="4.5" customHeight="1" spans="1:5">
      <c r="A34" s="8"/>
      <c r="B34" s="8"/>
      <c r="C34" s="8"/>
      <c r="D34" s="8"/>
      <c r="E34" s="9"/>
    </row>
    <row r="35" ht="16.35"/>
  </sheetData>
  <sheetProtection formatCells="0" insertHyperlinks="0" autoFilter="0"/>
  <mergeCells count="48">
    <mergeCell ref="A1:E1"/>
    <mergeCell ref="A2:E2"/>
    <mergeCell ref="A3:E3"/>
    <mergeCell ref="A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A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A33:E33"/>
    <mergeCell ref="A12:A22"/>
    <mergeCell ref="A24:A32"/>
  </mergeCells>
  <dataValidations count="5">
    <dataValidation type="list" allowBlank="1" showInputMessage="1" showErrorMessage="1" sqref="B6">
      <formula1>EV价格明细!$J$1:$J$4</formula1>
    </dataValidation>
    <dataValidation type="list" allowBlank="1" showInputMessage="1" showErrorMessage="1" sqref="B7 E8">
      <formula1>#REF!</formula1>
    </dataValidation>
    <dataValidation type="list" allowBlank="1" showInputMessage="1" showErrorMessage="1" sqref="B18:C18 E9:E10">
      <formula1>EV价格明细!$F$3:$F$13</formula1>
    </dataValidation>
    <dataValidation allowBlank="1" showInputMessage="1" showErrorMessage="1" sqref="B19:C19 B16:C17"/>
    <dataValidation type="list" allowBlank="1" showInputMessage="1" showErrorMessage="1" sqref="B9:B10 B14:C15">
      <formula1>EV价格明细!$A$3:$A$20</formula1>
    </dataValidation>
  </dataValidations>
  <hyperlinks>
    <hyperlink ref="A3" r:id="rId1" display="微信/电话：13249827686  邮箱: xuezhizhou000@163.com" tooltip="mailto:muqingenglish@163.com"/>
  </hyperlinks>
  <pageMargins left="0.75" right="0.75" top="1" bottom="1" header="0.509027777777778" footer="0.509027777777778"/>
  <pageSetup paperSize="9" scale="96" orientation="portrait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EV报价单-单课程</vt:lpstr>
      <vt:lpstr>EV报价单-青少年单课程</vt:lpstr>
      <vt:lpstr>EV报价单-2种课程</vt:lpstr>
      <vt:lpstr>EV报价单-3种课程</vt:lpstr>
      <vt:lpstr>EV价格明细</vt:lpstr>
      <vt:lpstr>EV报价单-单课程 (2)</vt:lpstr>
      <vt:lpstr>不要用这个表格</vt:lpstr>
      <vt:lpstr>不要用这个表格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86185</dc:creator>
  <cp:lastModifiedBy>WPS_1674710603</cp:lastModifiedBy>
  <dcterms:created xsi:type="dcterms:W3CDTF">2022-10-26T03:50:00Z</dcterms:created>
  <dcterms:modified xsi:type="dcterms:W3CDTF">2025-09-04T08:20:23Z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CB1825CEB97C447580E3281B4812D9DD_13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