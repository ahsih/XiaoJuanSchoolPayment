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320" windowHeight="11480"/>
  </bookViews>
  <sheets>
    <sheet name="CIA报价单-单课程" sheetId="1" r:id="rId1"/>
    <sheet name="CIA报价单-2种课程" sheetId="2" r:id="rId2"/>
    <sheet name="CIA报价单-3种课程" sheetId="3" r:id="rId3"/>
    <sheet name="CIA2025年价格明细" sheetId="4" r:id="rId4"/>
  </sheets>
  <definedNames>
    <definedName name="_xlnm.Print_Area" localSheetId="0">'CIA报价单-单课程'!$A$1:$E$33</definedName>
    <definedName name="_xlnm.Print_Area" localSheetId="1">'CIA报价单-2种课程'!$A$1:$E$34</definedName>
    <definedName name="_xlnm.Print_Area" localSheetId="2">'CIA报价单-3种课程'!$A$1:$E$37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<sst xmlns="http://schemas.openxmlformats.org/spreadsheetml/2006/main" count="236" uniqueCount="112">
  <si>
    <t xml:space="preserve">   菲律宾游学</t>
  </si>
  <si>
    <t>电话/微信：15367659331  邮箱: startedu86@163.com</t>
  </si>
  <si>
    <t xml:space="preserve"> </t>
  </si>
  <si>
    <t>学校：</t>
  </si>
  <si>
    <t>CIA校区</t>
  </si>
  <si>
    <t>报价日期：</t>
  </si>
  <si>
    <t>上课周数：</t>
  </si>
  <si>
    <t>宿舍：</t>
  </si>
  <si>
    <t>双人间</t>
  </si>
  <si>
    <t>课程安排：</t>
  </si>
  <si>
    <t>Regular ESL</t>
  </si>
  <si>
    <t>1、学费（包含注册费、课程费、住宿费、餐费）</t>
  </si>
  <si>
    <t>学费</t>
  </si>
  <si>
    <t>项目</t>
  </si>
  <si>
    <t>价格/美元</t>
  </si>
  <si>
    <t>注册费</t>
  </si>
  <si>
    <t>原价总计</t>
  </si>
  <si>
    <t>折扣</t>
  </si>
  <si>
    <t>折后价</t>
  </si>
  <si>
    <t>2000美元（约人民币14326元）</t>
  </si>
  <si>
    <r>
      <rPr>
        <b/>
        <sz val="12"/>
        <rFont val="微软雅黑"/>
        <charset val="134"/>
      </rPr>
      <t>2、学杂费（即到学校后会产生的当地费用，</t>
    </r>
    <r>
      <rPr>
        <b/>
        <sz val="12"/>
        <color rgb="FFFF0000"/>
        <rFont val="微软雅黑"/>
        <charset val="134"/>
      </rPr>
      <t>和思达游学无关，以到校为准仅供参考</t>
    </r>
    <r>
      <rPr>
        <b/>
        <sz val="12"/>
        <rFont val="微软雅黑"/>
        <charset val="134"/>
      </rPr>
      <t>）</t>
    </r>
  </si>
  <si>
    <t xml:space="preserve">学杂费
</t>
  </si>
  <si>
    <t>1、SSP特殊学习许可证</t>
  </si>
  <si>
    <r>
      <rPr>
        <sz val="12"/>
        <rFont val="微软雅黑"/>
        <charset val="134"/>
      </rPr>
      <t>P8000</t>
    </r>
    <r>
      <rPr>
        <sz val="9"/>
        <rFont val="微软雅黑"/>
        <charset val="134"/>
      </rPr>
      <t>（同学习时间一样，续费需要重新办理）</t>
    </r>
  </si>
  <si>
    <r>
      <rPr>
        <sz val="12"/>
        <rFont val="微软雅黑"/>
        <charset val="134"/>
      </rPr>
      <t>2、ACR-I CARD</t>
    </r>
    <r>
      <rPr>
        <sz val="9"/>
        <rFont val="微软雅黑"/>
        <charset val="134"/>
      </rPr>
      <t>（1年有效期）</t>
    </r>
  </si>
  <si>
    <r>
      <rPr>
        <sz val="12"/>
        <rFont val="微软雅黑"/>
        <charset val="134"/>
      </rPr>
      <t>P4500</t>
    </r>
    <r>
      <rPr>
        <sz val="9"/>
        <rFont val="微软雅黑"/>
        <charset val="134"/>
      </rPr>
      <t>（续签需要办理）</t>
    </r>
  </si>
  <si>
    <r>
      <rPr>
        <sz val="12"/>
        <rFont val="微软雅黑"/>
        <charset val="134"/>
      </rPr>
      <t>3、SSP-E CARD</t>
    </r>
    <r>
      <rPr>
        <sz val="9"/>
        <rFont val="微软雅黑"/>
        <charset val="134"/>
      </rPr>
      <t>（1年有效期）</t>
    </r>
  </si>
  <si>
    <t>P4500</t>
  </si>
  <si>
    <t>4、签证</t>
  </si>
  <si>
    <t>第一次续签P5130</t>
  </si>
  <si>
    <t>第二次续签P6410</t>
  </si>
  <si>
    <t>第三次续签P4540</t>
  </si>
  <si>
    <t>5、住宿费押金</t>
  </si>
  <si>
    <t>约P2500</t>
  </si>
  <si>
    <t>6、水电费</t>
  </si>
  <si>
    <t>约3000P/4周</t>
  </si>
  <si>
    <t>7、宿务马克坦机场接机</t>
  </si>
  <si>
    <t>P1000</t>
  </si>
  <si>
    <t>8、管理费</t>
  </si>
  <si>
    <t>约P3000/4周</t>
  </si>
  <si>
    <t>9、书本费</t>
  </si>
  <si>
    <t>约P2000</t>
  </si>
  <si>
    <t>10、学生证</t>
  </si>
  <si>
    <t>约P100</t>
  </si>
  <si>
    <t>11、ID大头照</t>
  </si>
  <si>
    <t>P200</t>
  </si>
  <si>
    <t>总计（直接交给学校的）</t>
  </si>
  <si>
    <r>
      <rPr>
        <b/>
        <sz val="12"/>
        <rFont val="微软雅黑"/>
        <charset val="134"/>
      </rPr>
      <t>约2800元人民币以上/4周</t>
    </r>
    <r>
      <rPr>
        <b/>
        <sz val="9"/>
        <rFont val="微软雅黑"/>
        <charset val="134"/>
      </rPr>
      <t>（不含押金）</t>
    </r>
  </si>
  <si>
    <t>说明：
1、学费部分由游学机构代收或直接到校支付给学校，我们的报价单上就是最终价格，支付时按照支付宝实时汇率，把美元换算为人民币结算。
2、学杂费是到菲律宾当地需要交纳的费用，是学校直接收取的，我们的报价只作为参考，具体以学校收取的为准。</t>
  </si>
  <si>
    <t>d</t>
  </si>
  <si>
    <t>微信/电话：13249827686  邮箱: startedu86@163.com</t>
  </si>
  <si>
    <t>上课周数</t>
  </si>
  <si>
    <t>课程名称</t>
  </si>
  <si>
    <t>课程安排</t>
  </si>
  <si>
    <t>宿舍</t>
  </si>
  <si>
    <t>四人间</t>
  </si>
  <si>
    <t>IELTS Regular</t>
  </si>
  <si>
    <t>如果亲子2人注册费记得改为200美元</t>
  </si>
  <si>
    <t>促销优惠</t>
  </si>
  <si>
    <t>3377.5美元（约24612元人民币）</t>
  </si>
  <si>
    <r>
      <rPr>
        <sz val="12"/>
        <rFont val="微软雅黑"/>
        <charset val="134"/>
      </rPr>
      <t>2、学杂费（即到学校后会产生的当地费用，</t>
    </r>
    <r>
      <rPr>
        <sz val="12"/>
        <color rgb="FFFF0000"/>
        <rFont val="微软雅黑"/>
        <charset val="134"/>
      </rPr>
      <t>和思达游学无关，以到校为准仅供参考</t>
    </r>
    <r>
      <rPr>
        <sz val="12"/>
        <rFont val="微软雅黑"/>
        <charset val="134"/>
      </rPr>
      <t>）</t>
    </r>
  </si>
  <si>
    <r>
      <rPr>
        <b/>
        <sz val="12"/>
        <rFont val="微软雅黑"/>
        <charset val="134"/>
      </rPr>
      <t>约2500元人民币以上/4周</t>
    </r>
    <r>
      <rPr>
        <b/>
        <sz val="9"/>
        <rFont val="微软雅黑"/>
        <charset val="134"/>
      </rPr>
      <t>（不含押金）</t>
    </r>
  </si>
  <si>
    <t>三人间</t>
  </si>
  <si>
    <t>5070美元（约36997元人民币）</t>
  </si>
  <si>
    <r>
      <rPr>
        <sz val="12"/>
        <rFont val="微软雅黑"/>
        <charset val="134"/>
      </rPr>
      <t>2、学杂费（即到学校后会产生的当地费用</t>
    </r>
    <r>
      <rPr>
        <sz val="12"/>
        <color rgb="FFFF0000"/>
        <rFont val="微软雅黑"/>
        <charset val="134"/>
      </rPr>
      <t>，和思达游学无关，以到校为准仅供参考</t>
    </r>
    <r>
      <rPr>
        <sz val="12"/>
        <rFont val="微软雅黑"/>
        <charset val="134"/>
      </rPr>
      <t>）</t>
    </r>
  </si>
  <si>
    <t>CIA 2025年课程费</t>
  </si>
  <si>
    <t>CIA 2025年住宿费</t>
  </si>
  <si>
    <t>校区</t>
  </si>
  <si>
    <t>100美元</t>
  </si>
  <si>
    <t>课程价格
4周/美元</t>
  </si>
  <si>
    <t>备注</t>
  </si>
  <si>
    <t>房间类型</t>
  </si>
  <si>
    <t>房间价格
4周/美元</t>
  </si>
  <si>
    <t>一对一4课时+团体3课时(小1，中1，大1)+选修课1节</t>
  </si>
  <si>
    <t>必须参加晨考</t>
  </si>
  <si>
    <t>豪华单人间</t>
  </si>
  <si>
    <t>豪华单人间多了一个电磁炉，可以简单加热食物</t>
  </si>
  <si>
    <t>Intensive ESL</t>
  </si>
  <si>
    <t>一对一5课时+团体2课时(小1，中1)+选修课1节</t>
  </si>
  <si>
    <t>标准单人间</t>
  </si>
  <si>
    <t>Power Intensive</t>
  </si>
  <si>
    <t>一对一6课时+团体1课时(小1）+选修课1节</t>
  </si>
  <si>
    <t>CB4单人间</t>
  </si>
  <si>
    <t>在学校对面的4号楼</t>
  </si>
  <si>
    <t xml:space="preserve">CB4配套：
•房型：单人房（16平方米）
•地点：CIA大门斜对面
•住宿费：1700美元/4周
•设施（房间内）：学习桌椅、投影仪、电磁炉、迷你冰箱、微波炉、茶壶、迷你洗衣机、蒸汽熨斗、保险箱、弹出式充电器、迷你风扇、吹风机和茶杯套装
•政策：大多数政策与校内宿舍相同（如宵禁）
•开业促销：100美元（适用于2024年12月7日至2025年1月26日期间抵达的学生），一次性优惠
我们始终感谢您的合作。如果您有任何疑问，请随时联系CIA中文经理。
</t>
  </si>
  <si>
    <t>Pre-TOEIC</t>
  </si>
  <si>
    <t>一对一4课时+团体3课时(小1，中2)+选修课1节</t>
  </si>
  <si>
    <t>TOEIC Regular</t>
  </si>
  <si>
    <t>TOEIC Guarantee</t>
  </si>
  <si>
    <t>Pre- IELTS</t>
  </si>
  <si>
    <t>单人套房</t>
  </si>
  <si>
    <t>双人套房</t>
  </si>
  <si>
    <t>IELTS Guarantee</t>
  </si>
  <si>
    <t>一对一4课时+团体3课时(小1，中2)</t>
  </si>
  <si>
    <t>三人套房</t>
  </si>
  <si>
    <t>Business </t>
  </si>
  <si>
    <t>四人套房</t>
  </si>
  <si>
    <t>Working Holiday</t>
  </si>
  <si>
    <t>校外单人间</t>
  </si>
  <si>
    <t>CERTIFIED UNIVERSITY</t>
  </si>
  <si>
    <t>校外双人间</t>
  </si>
  <si>
    <t>需2人同时预订</t>
  </si>
  <si>
    <t>CALLAN</t>
  </si>
  <si>
    <t>亲子青少年</t>
  </si>
  <si>
    <t>青少年：6节一对一</t>
  </si>
  <si>
    <t>满了15周岁才可以选择ESL，未满15周岁的都要选择青少年课程</t>
  </si>
  <si>
    <t>短周期报名：3周80%，2周60%，1周40%</t>
  </si>
  <si>
    <t>亲子监护人</t>
  </si>
  <si>
    <t>监护人：4节一对一＋团体2课时(小1，中1)</t>
  </si>
  <si>
    <t>2024年1月1日起，优惠折扣最高只能5%</t>
  </si>
  <si>
    <t>备注：以上单价均为4周的单价
95折，不免注册费
1.报名本校其他科不管几周之学生，皆享有雅思官方考试优惠，学生仅需负担100美金
2.报名本校预备/正规雅思课程8周(含)以上学生，享有免费一次雅思官方考试
3.报名本校雅思保证班课程学生，享有免费一次雅思官方考试，若在就读期间内想要二次报考，学生仅需负担100美金
4.必须在就读期间选择CIA考场，若校内学生报考其他考场或毕业生皆不适用
5.使用全额免费之校内学生必须自行负担全额费用，后提交收据及成绩即可退全额费用
6.使用此优惠校内学生必须签同意书公开官方成绩在校园荣誉榜或其他CIA官方社群，不可要求上马赛克
重要通知！！！CIA2025年开始会更新课程设置，
其中一节团体课会变成选修课，选修课如：舞蹈课、电影、尊巴，以及其他等等，具体后面会再通知，请务必告知即将报名CIA2025年的学生，谢谢大家。
重要通知！！！*2 CIA将在2025年调整部分宿舍价格并新增Callan课程，详见附表价格，谢谢大家。</t>
  </si>
  <si>
    <t>1.2024年1月1日开始，报读雅思课程的同学如果不想参加clinic classes（每周五模拟考试试题的解答），可选择参加以下活动课（课程可根据实际情况有所变动）：
意译课
略读和翻阅课
通过语境理解意义课
语调课
2.2024年1月1日开始，报读托业保证班的同学须参加强制晚修课，每周一到周四晚上7-8点。
雅思保证班夜间强制自习课从原来的1周四天，晚上1个小时改为每周一到周三晚上1.5小时，7:00-8:30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</si>
</sst>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2"/>
      <name val="宋体"/>
      <charset val="134"/>
    </font>
    <font>
      <b/>
      <sz val="24"/>
      <name val="宋体"/>
      <charset val="134"/>
    </font>
    <font>
      <b/>
      <sz val="14"/>
      <name val="宋体"/>
      <charset val="134"/>
    </font>
    <font>
      <b/>
      <sz val="12"/>
      <name val="宋体"/>
      <charset val="134"/>
    </font>
    <font>
      <sz val="8"/>
      <name val="宋体"/>
      <charset val="134"/>
    </font>
    <font>
      <b/>
      <sz val="12"/>
      <color rgb="FFFF0000"/>
      <name val="宋体"/>
      <charset val="134"/>
    </font>
    <font>
      <sz val="12"/>
      <color theme="1"/>
      <name val="宋体"/>
      <charset val="134"/>
    </font>
    <font>
      <b/>
      <sz val="28"/>
      <color rgb="FF7030A0"/>
      <name val="微软雅黑"/>
      <charset val="134"/>
    </font>
    <font>
      <sz val="9"/>
      <color rgb="FF7F7F7F"/>
      <name val="微软雅黑"/>
      <charset val="134"/>
    </font>
    <font>
      <sz val="9"/>
      <color rgb="FF808080"/>
      <name val="微软雅黑"/>
      <charset val="134"/>
    </font>
    <font>
      <sz val="12"/>
      <name val="微软雅黑"/>
      <charset val="134"/>
    </font>
    <font>
      <sz val="8"/>
      <name val="微软雅黑"/>
      <charset val="134"/>
    </font>
    <font>
      <b/>
      <sz val="12"/>
      <name val="微软雅黑"/>
      <charset val="134"/>
    </font>
    <font>
      <b/>
      <sz val="11"/>
      <name val="微软雅黑"/>
      <charset val="134"/>
    </font>
    <font>
      <b/>
      <sz val="28"/>
      <color rgb="FF9DC2E5"/>
      <name val="微软雅黑"/>
      <charset val="134"/>
    </font>
    <font>
      <sz val="10"/>
      <name val="微软雅黑"/>
      <charset val="134"/>
    </font>
    <font>
      <b/>
      <sz val="11"/>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微软雅黑"/>
      <charset val="134"/>
    </font>
    <font>
      <sz val="12"/>
      <color rgb="FFFF0000"/>
      <name val="微软雅黑"/>
      <charset val="134"/>
    </font>
    <font>
      <b/>
      <sz val="9"/>
      <name val="微软雅黑"/>
      <charset val="134"/>
    </font>
    <font>
      <b/>
      <sz val="12"/>
      <color rgb="FFFF0000"/>
      <name val="微软雅黑"/>
      <charset val="134"/>
    </font>
  </fonts>
  <fills count="38">
    <fill>
      <patternFill patternType="none"/>
    </fill>
    <fill>
      <patternFill patternType="gray125"/>
    </fill>
    <fill>
      <patternFill patternType="solid">
        <fgColor rgb="FFFFE598"/>
        <bgColor indexed="64"/>
      </patternFill>
    </fill>
    <fill>
      <patternFill patternType="solid">
        <fgColor rgb="FFFFF2CB"/>
        <bgColor indexed="64"/>
      </patternFill>
    </fill>
    <fill>
      <patternFill patternType="solid">
        <fgColor rgb="FFF6E8FF"/>
        <bgColor indexed="64"/>
      </patternFill>
    </fill>
    <fill>
      <patternFill patternType="solid">
        <fgColor rgb="FFFFFFFF"/>
        <bgColor indexed="64"/>
      </patternFill>
    </fill>
    <fill>
      <patternFill patternType="solid">
        <fgColor rgb="FFDEEA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ck">
        <color rgb="FF7030A0"/>
      </top>
      <bottom/>
      <diagonal/>
    </border>
    <border>
      <left style="medium">
        <color rgb="FFD8D8D8"/>
      </left>
      <right style="medium">
        <color rgb="FFD8D8D8"/>
      </right>
      <top style="medium">
        <color rgb="FFD8D8D8"/>
      </top>
      <bottom style="medium">
        <color rgb="FFD8D8D8"/>
      </bottom>
      <diagonal/>
    </border>
    <border>
      <left style="medium">
        <color rgb="FFD8D8D8"/>
      </left>
      <right/>
      <top style="medium">
        <color rgb="FFD8D8D8"/>
      </top>
      <bottom style="medium">
        <color rgb="FFD8D8D8"/>
      </bottom>
      <diagonal/>
    </border>
    <border>
      <left/>
      <right style="medium">
        <color rgb="FFD8D8D8"/>
      </right>
      <top style="medium">
        <color rgb="FFD8D8D8"/>
      </top>
      <bottom style="medium">
        <color rgb="FFD8D8D8"/>
      </bottom>
      <diagonal/>
    </border>
    <border>
      <left style="medium">
        <color rgb="FFD8D8D8"/>
      </left>
      <right style="medium">
        <color rgb="FFD8D8D8"/>
      </right>
      <top style="medium">
        <color rgb="FFD8D8D8"/>
      </top>
      <bottom/>
      <diagonal/>
    </border>
    <border>
      <left/>
      <right/>
      <top style="medium">
        <color rgb="FFD8D8D8"/>
      </top>
      <bottom style="medium">
        <color rgb="FFD8D8D8"/>
      </bottom>
      <diagonal/>
    </border>
    <border>
      <left style="medium">
        <color rgb="FFD8D8D8"/>
      </left>
      <right style="medium">
        <color rgb="FFD8D8D8"/>
      </right>
      <top/>
      <bottom/>
      <diagonal/>
    </border>
    <border>
      <left style="medium">
        <color rgb="FFD8D8D8"/>
      </left>
      <right style="medium">
        <color rgb="FFD8D8D8"/>
      </right>
      <top/>
      <bottom style="medium">
        <color rgb="FFD8D8D8"/>
      </bottom>
      <diagonal/>
    </border>
    <border>
      <left/>
      <right/>
      <top/>
      <bottom style="thick">
        <color rgb="FF2F75B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7" borderId="14"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5" applyNumberFormat="0" applyFill="0" applyAlignment="0" applyProtection="0">
      <alignment vertical="center"/>
    </xf>
    <xf numFmtId="0" fontId="24" fillId="0" borderId="15" applyNumberFormat="0" applyFill="0" applyAlignment="0" applyProtection="0">
      <alignment vertical="center"/>
    </xf>
    <xf numFmtId="0" fontId="25" fillId="0" borderId="16" applyNumberFormat="0" applyFill="0" applyAlignment="0" applyProtection="0">
      <alignment vertical="center"/>
    </xf>
    <xf numFmtId="0" fontId="25" fillId="0" borderId="0" applyNumberFormat="0" applyFill="0" applyBorder="0" applyAlignment="0" applyProtection="0">
      <alignment vertical="center"/>
    </xf>
    <xf numFmtId="0" fontId="26" fillId="8" borderId="17" applyNumberFormat="0" applyAlignment="0" applyProtection="0">
      <alignment vertical="center"/>
    </xf>
    <xf numFmtId="0" fontId="27" fillId="9" borderId="18" applyNumberFormat="0" applyAlignment="0" applyProtection="0">
      <alignment vertical="center"/>
    </xf>
    <xf numFmtId="0" fontId="28" fillId="9" borderId="17" applyNumberFormat="0" applyAlignment="0" applyProtection="0">
      <alignment vertical="center"/>
    </xf>
    <xf numFmtId="0" fontId="29" fillId="10" borderId="19" applyNumberFormat="0" applyAlignment="0" applyProtection="0">
      <alignment vertical="center"/>
    </xf>
    <xf numFmtId="0" fontId="30" fillId="0" borderId="20" applyNumberFormat="0" applyFill="0" applyAlignment="0" applyProtection="0">
      <alignment vertical="center"/>
    </xf>
    <xf numFmtId="0" fontId="31" fillId="0" borderId="21" applyNumberFormat="0" applyFill="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cellStyleXfs>
  <cellXfs count="84">
    <xf numFmtId="0" fontId="0" fillId="0" borderId="0" xfId="0">
      <alignment vertical="center"/>
    </xf>
    <xf numFmtId="0" fontId="0" fillId="0" borderId="0" xfId="0" applyFill="1">
      <alignment vertical="center"/>
    </xf>
    <xf numFmtId="0" fontId="0" fillId="0" borderId="0" xfId="0" applyFill="1" applyAlignment="1">
      <alignment horizontal="right" vertical="center"/>
    </xf>
    <xf numFmtId="0" fontId="0" fillId="0" borderId="0" xfId="0" applyFill="1" applyAlignment="1">
      <alignmen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wrapText="1"/>
    </xf>
    <xf numFmtId="0" fontId="2" fillId="3" borderId="4" xfId="0" applyFont="1" applyFill="1" applyBorder="1">
      <alignment vertical="center"/>
    </xf>
    <xf numFmtId="0" fontId="2" fillId="3" borderId="1" xfId="0" applyFont="1" applyFill="1" applyBorder="1" applyAlignment="1">
      <alignment horizontal="center"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wrapText="1"/>
    </xf>
    <xf numFmtId="0" fontId="3" fillId="3" borderId="4" xfId="0" applyFont="1" applyFill="1" applyBorder="1">
      <alignment vertical="center"/>
    </xf>
    <xf numFmtId="0" fontId="3" fillId="3" borderId="4" xfId="0" applyFont="1" applyFill="1" applyBorder="1" applyAlignment="1">
      <alignment horizontal="center" vertical="center" wrapText="1"/>
    </xf>
    <xf numFmtId="0" fontId="3" fillId="3" borderId="4" xfId="0" applyFont="1" applyFill="1" applyBorder="1" applyAlignment="1">
      <alignment vertical="center" wrapText="1"/>
    </xf>
    <xf numFmtId="0" fontId="0" fillId="0" borderId="4" xfId="0" applyFill="1" applyBorder="1">
      <alignment vertical="center"/>
    </xf>
    <xf numFmtId="0" fontId="0" fillId="0" borderId="4" xfId="0" applyFill="1" applyBorder="1" applyAlignment="1">
      <alignment horizontal="center" vertical="center"/>
    </xf>
    <xf numFmtId="0" fontId="0" fillId="0" borderId="4" xfId="0" applyFill="1" applyBorder="1" applyAlignment="1">
      <alignment horizontal="center" vertical="center" wrapText="1"/>
    </xf>
    <xf numFmtId="0" fontId="0" fillId="0" borderId="4" xfId="0" applyFont="1" applyFill="1" applyBorder="1">
      <alignment vertical="center"/>
    </xf>
    <xf numFmtId="0" fontId="0" fillId="0" borderId="4" xfId="0" applyFill="1" applyBorder="1" applyAlignment="1">
      <alignment vertical="center" wrapText="1"/>
    </xf>
    <xf numFmtId="0" fontId="4" fillId="0" borderId="4" xfId="0" applyFont="1" applyFill="1" applyBorder="1" applyAlignment="1">
      <alignment vertical="center" wrapText="1"/>
    </xf>
    <xf numFmtId="0" fontId="5" fillId="0" borderId="0" xfId="0" applyFont="1" applyFill="1" applyAlignment="1">
      <alignment horizontal="left" vertical="center" wrapText="1"/>
    </xf>
    <xf numFmtId="0" fontId="1" fillId="2" borderId="3" xfId="0" applyFont="1" applyFill="1" applyBorder="1" applyAlignment="1">
      <alignment horizontal="center" vertical="center"/>
    </xf>
    <xf numFmtId="0" fontId="2" fillId="3" borderId="3" xfId="0" applyFont="1" applyFill="1" applyBorder="1" applyAlignment="1">
      <alignment horizontal="left" vertical="center"/>
    </xf>
    <xf numFmtId="0" fontId="5" fillId="0" borderId="0" xfId="0" applyFont="1" applyFill="1" applyAlignment="1">
      <alignment horizontal="left" vertical="center"/>
    </xf>
    <xf numFmtId="0" fontId="5" fillId="0" borderId="0" xfId="0" applyFont="1" applyFill="1" applyAlignment="1">
      <alignment horizontal="center" vertical="center"/>
    </xf>
    <xf numFmtId="0" fontId="5" fillId="0" borderId="0" xfId="0" applyFont="1" applyFill="1" applyAlignment="1">
      <alignment vertical="center" wrapText="1"/>
    </xf>
    <xf numFmtId="0" fontId="6" fillId="0" borderId="0" xfId="0" applyFont="1" applyFill="1" applyAlignment="1">
      <alignment horizontal="left" vertical="center" wrapText="1"/>
    </xf>
    <xf numFmtId="0" fontId="6" fillId="0" borderId="0" xfId="0" applyFont="1" applyFill="1" applyAlignment="1">
      <alignment horizontal="center" vertical="center" wrapText="1"/>
    </xf>
    <xf numFmtId="0" fontId="1"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0" fillId="0" borderId="0" xfId="0" applyFill="1" applyAlignment="1">
      <alignment horizontal="left" vertical="center" wrapText="1"/>
    </xf>
    <xf numFmtId="0" fontId="4" fillId="0" borderId="0" xfId="0" applyFont="1">
      <alignment vertical="center"/>
    </xf>
    <xf numFmtId="0" fontId="0" fillId="0" borderId="0" xfId="0"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center" vertical="center"/>
    </xf>
    <xf numFmtId="0" fontId="9" fillId="0" borderId="0" xfId="0" applyFont="1" applyFill="1" applyAlignment="1">
      <alignment horizontal="center" vertical="center"/>
    </xf>
    <xf numFmtId="0" fontId="9" fillId="0" borderId="5" xfId="0" applyFont="1" applyFill="1" applyBorder="1" applyAlignment="1">
      <alignment horizontal="left" vertical="center"/>
    </xf>
    <xf numFmtId="0" fontId="0" fillId="0" borderId="5" xfId="0" applyFill="1" applyBorder="1">
      <alignment vertical="center"/>
    </xf>
    <xf numFmtId="0" fontId="10" fillId="4" borderId="0" xfId="0" applyFont="1" applyFill="1" applyAlignment="1">
      <alignment horizontal="left" vertical="center"/>
    </xf>
    <xf numFmtId="0" fontId="10" fillId="4" borderId="0" xfId="0" applyFont="1" applyFill="1" applyAlignment="1">
      <alignment horizontal="right" vertical="center"/>
    </xf>
    <xf numFmtId="0" fontId="10" fillId="5" borderId="0" xfId="0" applyFont="1" applyFill="1" applyAlignment="1">
      <alignment horizontal="left" vertical="center"/>
    </xf>
    <xf numFmtId="0" fontId="10" fillId="5" borderId="0" xfId="0" applyFont="1" applyFill="1" applyAlignment="1">
      <alignment horizontal="right" vertical="center"/>
    </xf>
    <xf numFmtId="0" fontId="10" fillId="4" borderId="0" xfId="0" applyFont="1" applyFill="1" applyAlignment="1">
      <alignment horizontal="center" vertical="center"/>
    </xf>
    <xf numFmtId="0" fontId="11" fillId="4" borderId="0" xfId="0" applyFont="1" applyFill="1" applyAlignment="1">
      <alignment horizontal="center" vertical="center"/>
    </xf>
    <xf numFmtId="0" fontId="11" fillId="4" borderId="0" xfId="0" applyFont="1" applyFill="1">
      <alignment vertical="center"/>
    </xf>
    <xf numFmtId="0" fontId="11" fillId="4" borderId="0" xfId="0" applyFont="1" applyFill="1" applyAlignment="1">
      <alignment horizontal="right" vertical="center"/>
    </xf>
    <xf numFmtId="0" fontId="10" fillId="0" borderId="0" xfId="0" applyFont="1" applyFill="1" applyAlignment="1">
      <alignment horizontal="left" vertical="center"/>
    </xf>
    <xf numFmtId="0" fontId="10"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0" fontId="10" fillId="4" borderId="6" xfId="0" applyFont="1" applyFill="1" applyBorder="1" applyAlignment="1">
      <alignment horizontal="center" vertical="center"/>
    </xf>
    <xf numFmtId="0" fontId="10" fillId="6" borderId="6"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8" xfId="0" applyFont="1" applyFill="1" applyBorder="1" applyAlignment="1">
      <alignment horizontal="center" vertical="center"/>
    </xf>
    <xf numFmtId="0" fontId="12" fillId="4" borderId="6" xfId="0" applyFont="1" applyFill="1" applyBorder="1" applyAlignment="1">
      <alignment horizontal="center" vertical="center"/>
    </xf>
    <xf numFmtId="0" fontId="12" fillId="6" borderId="6" xfId="0" applyFont="1" applyFill="1" applyBorder="1" applyAlignment="1">
      <alignment horizontal="center" vertical="center"/>
    </xf>
    <xf numFmtId="0" fontId="13" fillId="4" borderId="7" xfId="0" applyFont="1" applyFill="1" applyBorder="1" applyAlignment="1">
      <alignment horizontal="center" vertical="center"/>
    </xf>
    <xf numFmtId="0" fontId="10" fillId="0" borderId="9" xfId="0" applyFont="1" applyFill="1" applyBorder="1" applyAlignment="1">
      <alignment horizontal="center" vertical="center" wrapText="1"/>
    </xf>
    <xf numFmtId="0" fontId="10" fillId="0" borderId="7" xfId="0" applyFont="1" applyFill="1" applyBorder="1" applyAlignment="1">
      <alignment horizontal="left" vertical="center"/>
    </xf>
    <xf numFmtId="0" fontId="10" fillId="0" borderId="8" xfId="0" applyFont="1" applyFill="1" applyBorder="1" applyAlignment="1">
      <alignment horizontal="left" vertical="center"/>
    </xf>
    <xf numFmtId="0" fontId="10" fillId="0" borderId="10" xfId="0" applyFont="1" applyFill="1" applyBorder="1" applyAlignment="1">
      <alignment horizontal="left" vertical="center"/>
    </xf>
    <xf numFmtId="0" fontId="10" fillId="0" borderId="11" xfId="0" applyFont="1" applyFill="1" applyBorder="1" applyAlignment="1">
      <alignment horizontal="center" vertical="center" wrapText="1"/>
    </xf>
    <xf numFmtId="0" fontId="14" fillId="0" borderId="0" xfId="0" applyFont="1" applyFill="1">
      <alignment vertical="center"/>
    </xf>
    <xf numFmtId="0" fontId="8" fillId="0" borderId="0" xfId="0" applyFont="1" applyFill="1">
      <alignment vertical="center"/>
    </xf>
    <xf numFmtId="0" fontId="0" fillId="0" borderId="5" xfId="0" applyFill="1" applyBorder="1" applyAlignment="1">
      <alignment horizontal="center" vertical="center"/>
    </xf>
    <xf numFmtId="14" fontId="10" fillId="4" borderId="0" xfId="0" applyNumberFormat="1" applyFont="1" applyFill="1" applyAlignment="1">
      <alignment horizontal="left" vertical="center"/>
    </xf>
    <xf numFmtId="14" fontId="10" fillId="5" borderId="0" xfId="0" applyNumberFormat="1" applyFont="1" applyFill="1" applyAlignment="1">
      <alignment horizontal="left" vertical="center"/>
    </xf>
    <xf numFmtId="0" fontId="13" fillId="6" borderId="8" xfId="0" applyFont="1" applyFill="1" applyBorder="1" applyAlignment="1">
      <alignment horizontal="center" vertical="center"/>
    </xf>
    <xf numFmtId="0" fontId="10" fillId="0" borderId="7" xfId="0" applyFont="1" applyFill="1" applyBorder="1" applyAlignment="1">
      <alignment horizontal="left" vertical="center" wrapText="1"/>
    </xf>
    <xf numFmtId="0" fontId="10" fillId="0" borderId="8" xfId="0" applyFont="1" applyFill="1" applyBorder="1" applyAlignment="1">
      <alignment horizontal="left" vertical="center" wrapText="1"/>
    </xf>
    <xf numFmtId="0" fontId="10" fillId="0" borderId="10" xfId="0" applyFont="1" applyFill="1" applyBorder="1" applyAlignment="1">
      <alignment horizontal="left" vertical="center" wrapText="1"/>
    </xf>
    <xf numFmtId="0" fontId="10" fillId="0" borderId="12" xfId="0" applyFont="1" applyFill="1" applyBorder="1" applyAlignment="1">
      <alignment horizontal="center" vertical="center" wrapText="1"/>
    </xf>
    <xf numFmtId="0" fontId="12" fillId="4" borderId="7" xfId="0" applyFont="1" applyFill="1" applyBorder="1" applyAlignment="1">
      <alignment horizontal="center" vertical="center"/>
    </xf>
    <xf numFmtId="0" fontId="12" fillId="6" borderId="8" xfId="0" applyFont="1" applyFill="1" applyBorder="1" applyAlignment="1">
      <alignment horizontal="center" vertical="center"/>
    </xf>
    <xf numFmtId="0" fontId="12" fillId="4" borderId="10" xfId="0" applyFont="1" applyFill="1" applyBorder="1" applyAlignment="1">
      <alignment horizontal="left" vertical="center"/>
    </xf>
    <xf numFmtId="0" fontId="15" fillId="0" borderId="0" xfId="0" applyFont="1" applyFill="1" applyAlignment="1">
      <alignment vertical="center" wrapText="1"/>
    </xf>
    <xf numFmtId="0" fontId="15" fillId="0" borderId="0" xfId="0" applyFont="1" applyFill="1">
      <alignment vertical="center"/>
    </xf>
    <xf numFmtId="0" fontId="0" fillId="0" borderId="13" xfId="0" applyFill="1" applyBorder="1">
      <alignment vertical="center"/>
    </xf>
    <xf numFmtId="0" fontId="12" fillId="6" borderId="8" xfId="0" applyFont="1" applyFill="1" applyBorder="1" applyAlignment="1">
      <alignment horizontal="left" vertical="center"/>
    </xf>
    <xf numFmtId="0" fontId="10" fillId="4" borderId="0" xfId="0" applyFont="1" applyFill="1">
      <alignment vertical="center"/>
    </xf>
    <xf numFmtId="0" fontId="12" fillId="0" borderId="0" xfId="0" applyFont="1" applyFill="1" applyAlignment="1">
      <alignment horizontal="left" vertical="center"/>
    </xf>
    <xf numFmtId="0" fontId="10" fillId="4" borderId="7" xfId="0" applyFont="1" applyFill="1" applyBorder="1" applyAlignment="1">
      <alignment horizontal="center" vertical="center" wrapText="1"/>
    </xf>
    <xf numFmtId="0" fontId="16" fillId="4" borderId="7"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sharedStrings" Target="sharedStrings.xml"/><Relationship Id="rId7" Type="http://schemas.openxmlformats.org/officeDocument/2006/relationships/theme" Target="theme/theme1.xml"/><Relationship Id="rId6" Type="http://www.wps.cn/officeDocument/2021/sharedlinks" Target="sharedlinks.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muqingenglish@163.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muqingenglish@163.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muqingenglish@163.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9"/>
  <sheetViews>
    <sheetView showGridLines="0" tabSelected="1" workbookViewId="0">
      <selection activeCell="A1" sqref="A1:E33"/>
    </sheetView>
  </sheetViews>
  <sheetFormatPr defaultColWidth="8.925" defaultRowHeight="14.25" outlineLevelCol="7"/>
  <cols>
    <col min="1" max="1" width="10.8333333333333" style="1" customWidth="1"/>
    <col min="2" max="2" width="16.8333333333333" style="1" customWidth="1"/>
    <col min="3" max="3" width="15.7916666666667" style="1" customWidth="1"/>
    <col min="4" max="4" width="17.6" style="1" customWidth="1"/>
    <col min="5" max="5" width="15.6" style="33" customWidth="1"/>
    <col min="6" max="16384" width="9" style="1"/>
  </cols>
  <sheetData>
    <row r="1" ht="59.15" customHeight="1" spans="1:7">
      <c r="A1" s="34" t="s">
        <v>0</v>
      </c>
      <c r="B1" s="34"/>
      <c r="C1" s="34"/>
      <c r="D1" s="34"/>
      <c r="E1" s="34"/>
      <c r="F1" s="63"/>
      <c r="G1" s="63"/>
    </row>
    <row r="2" spans="1:7">
      <c r="A2" s="35"/>
      <c r="B2" s="35"/>
      <c r="C2" s="35"/>
      <c r="D2" s="35"/>
      <c r="E2" s="35"/>
      <c r="F2" s="64"/>
      <c r="G2" s="64"/>
    </row>
    <row r="3" spans="1:5">
      <c r="A3" s="36" t="s">
        <v>1</v>
      </c>
      <c r="B3" s="36"/>
      <c r="C3" s="36"/>
      <c r="D3" s="36"/>
      <c r="E3" s="36"/>
    </row>
    <row r="4" ht="8.15" customHeight="1"/>
    <row r="5" ht="9" customHeight="1" spans="1:5">
      <c r="A5" s="37" t="s">
        <v>2</v>
      </c>
      <c r="B5" s="38"/>
      <c r="C5" s="38"/>
      <c r="D5" s="38"/>
      <c r="E5" s="65"/>
    </row>
    <row r="6" ht="22" customHeight="1" spans="1:5">
      <c r="A6" s="39" t="s">
        <v>3</v>
      </c>
      <c r="B6" s="39" t="s">
        <v>4</v>
      </c>
      <c r="C6" s="40"/>
      <c r="D6" s="40" t="s">
        <v>5</v>
      </c>
      <c r="E6" s="66">
        <v>45896</v>
      </c>
    </row>
    <row r="7" ht="22" customHeight="1" spans="1:5">
      <c r="A7" s="43" t="s">
        <v>6</v>
      </c>
      <c r="B7" s="39">
        <v>4</v>
      </c>
      <c r="C7" s="40"/>
      <c r="D7" s="40" t="s">
        <v>7</v>
      </c>
      <c r="E7" s="39" t="s">
        <v>8</v>
      </c>
    </row>
    <row r="8" ht="22" customHeight="1" spans="1:5">
      <c r="A8" s="43" t="s">
        <v>9</v>
      </c>
      <c r="B8" s="80" t="s">
        <v>10</v>
      </c>
      <c r="C8" s="45" t="str">
        <f>VLOOKUP(B8,CIA2025年价格明细!A3:C16,3,FALSE)</f>
        <v>一对一4课时+团体3课时(小1，中1，大1)+选修课1节</v>
      </c>
      <c r="D8" s="80"/>
      <c r="E8" s="80"/>
    </row>
    <row r="9" ht="24" customHeight="1" spans="1:5">
      <c r="A9" s="81" t="s">
        <v>11</v>
      </c>
      <c r="B9" s="81"/>
      <c r="C9" s="81"/>
      <c r="D9" s="81"/>
      <c r="E9" s="81"/>
    </row>
    <row r="10" ht="22" customHeight="1" spans="1:5">
      <c r="A10" s="48" t="s">
        <v>12</v>
      </c>
      <c r="B10" s="48" t="s">
        <v>13</v>
      </c>
      <c r="C10" s="48"/>
      <c r="D10" s="49" t="s">
        <v>14</v>
      </c>
      <c r="E10" s="50"/>
    </row>
    <row r="11" ht="22" customHeight="1" spans="1:5">
      <c r="A11" s="48"/>
      <c r="B11" s="48" t="s">
        <v>15</v>
      </c>
      <c r="C11" s="48"/>
      <c r="D11" s="49">
        <v>100</v>
      </c>
      <c r="E11" s="50"/>
    </row>
    <row r="12" ht="22" customHeight="1" spans="1:5">
      <c r="A12" s="48"/>
      <c r="B12" s="48" t="s">
        <v>10</v>
      </c>
      <c r="C12" s="48"/>
      <c r="D12" s="49">
        <f>VLOOKUP($B12,CIA2025年价格明细!A3:C16,2,FALSE)*($B$7/4)</f>
        <v>900</v>
      </c>
      <c r="E12" s="50"/>
    </row>
    <row r="13" ht="22" customHeight="1" spans="1:5">
      <c r="A13" s="48"/>
      <c r="B13" s="49" t="s">
        <v>8</v>
      </c>
      <c r="C13" s="50"/>
      <c r="D13" s="49">
        <f>VLOOKUP($B13,CIA2025年价格明细!F3:G15,2,FALSE)*($B$7/4)</f>
        <v>1100</v>
      </c>
      <c r="E13" s="50"/>
    </row>
    <row r="14" ht="22" customHeight="1" spans="1:5">
      <c r="A14" s="48"/>
      <c r="B14" s="51" t="s">
        <v>16</v>
      </c>
      <c r="C14" s="52"/>
      <c r="D14" s="53">
        <f>SUM(D11:E13)</f>
        <v>2100</v>
      </c>
      <c r="E14" s="54"/>
    </row>
    <row r="15" ht="22" customHeight="1" spans="1:6">
      <c r="A15" s="48"/>
      <c r="B15" s="82" t="s">
        <v>17</v>
      </c>
      <c r="C15" s="54"/>
      <c r="D15" s="53">
        <v>0.95</v>
      </c>
      <c r="E15" s="54"/>
      <c r="F15" s="1">
        <f>(D12+D13)*D15+D11</f>
        <v>2000</v>
      </c>
    </row>
    <row r="16" ht="22" customHeight="1" spans="1:5">
      <c r="A16" s="48"/>
      <c r="B16" s="55" t="s">
        <v>18</v>
      </c>
      <c r="C16" s="56"/>
      <c r="D16" s="83" t="s">
        <v>19</v>
      </c>
      <c r="E16" s="68"/>
    </row>
    <row r="17" ht="26.15" customHeight="1" spans="1:5">
      <c r="A17" s="81" t="s">
        <v>20</v>
      </c>
      <c r="B17" s="81"/>
      <c r="C17" s="81"/>
      <c r="D17" s="81"/>
      <c r="E17" s="81"/>
    </row>
    <row r="18" ht="22" customHeight="1" spans="1:5">
      <c r="A18" s="58" t="s">
        <v>21</v>
      </c>
      <c r="B18" s="59" t="s">
        <v>22</v>
      </c>
      <c r="C18" s="60"/>
      <c r="D18" s="61" t="s">
        <v>23</v>
      </c>
      <c r="E18" s="60"/>
    </row>
    <row r="19" ht="22" customHeight="1" spans="1:5">
      <c r="A19" s="62"/>
      <c r="B19" s="59" t="s">
        <v>24</v>
      </c>
      <c r="C19" s="60"/>
      <c r="D19" s="61" t="s">
        <v>25</v>
      </c>
      <c r="E19" s="60"/>
    </row>
    <row r="20" ht="22" customHeight="1" spans="1:5">
      <c r="A20" s="62"/>
      <c r="B20" s="59" t="s">
        <v>26</v>
      </c>
      <c r="C20" s="60"/>
      <c r="D20" s="61" t="s">
        <v>27</v>
      </c>
      <c r="E20" s="60"/>
    </row>
    <row r="21" ht="22" customHeight="1" spans="1:5">
      <c r="A21" s="62"/>
      <c r="B21" s="59" t="s">
        <v>28</v>
      </c>
      <c r="C21" s="60"/>
      <c r="D21" s="61" t="s">
        <v>29</v>
      </c>
      <c r="E21" s="60"/>
    </row>
    <row r="22" ht="22" customHeight="1" spans="1:5">
      <c r="A22" s="62"/>
      <c r="B22" s="59"/>
      <c r="C22" s="60"/>
      <c r="D22" s="61" t="s">
        <v>30</v>
      </c>
      <c r="E22" s="60"/>
    </row>
    <row r="23" ht="22" customHeight="1" spans="1:5">
      <c r="A23" s="62"/>
      <c r="B23" s="59"/>
      <c r="C23" s="60"/>
      <c r="D23" s="61" t="s">
        <v>31</v>
      </c>
      <c r="E23" s="60"/>
    </row>
    <row r="24" ht="22" customHeight="1" spans="1:5">
      <c r="A24" s="62"/>
      <c r="B24" s="59" t="s">
        <v>32</v>
      </c>
      <c r="C24" s="60"/>
      <c r="D24" s="61" t="s">
        <v>33</v>
      </c>
      <c r="E24" s="60"/>
    </row>
    <row r="25" ht="22" customHeight="1" spans="1:5">
      <c r="A25" s="62"/>
      <c r="B25" s="59" t="s">
        <v>34</v>
      </c>
      <c r="C25" s="60"/>
      <c r="D25" s="61" t="s">
        <v>35</v>
      </c>
      <c r="E25" s="60"/>
    </row>
    <row r="26" ht="22" customHeight="1" spans="1:5">
      <c r="A26" s="62"/>
      <c r="B26" s="69" t="s">
        <v>36</v>
      </c>
      <c r="C26" s="70"/>
      <c r="D26" s="71" t="s">
        <v>37</v>
      </c>
      <c r="E26" s="70"/>
    </row>
    <row r="27" ht="22" customHeight="1" spans="1:5">
      <c r="A27" s="62"/>
      <c r="B27" s="69" t="s">
        <v>38</v>
      </c>
      <c r="C27" s="70"/>
      <c r="D27" s="71" t="s">
        <v>39</v>
      </c>
      <c r="E27" s="70"/>
    </row>
    <row r="28" ht="22" customHeight="1" spans="1:5">
      <c r="A28" s="62"/>
      <c r="B28" s="69" t="s">
        <v>40</v>
      </c>
      <c r="C28" s="70"/>
      <c r="D28" s="71" t="s">
        <v>41</v>
      </c>
      <c r="E28" s="70"/>
    </row>
    <row r="29" ht="22" customHeight="1" spans="1:5">
      <c r="A29" s="62"/>
      <c r="B29" s="69" t="s">
        <v>42</v>
      </c>
      <c r="C29" s="70"/>
      <c r="D29" s="71" t="s">
        <v>43</v>
      </c>
      <c r="E29" s="70"/>
    </row>
    <row r="30" ht="22" customHeight="1" spans="1:5">
      <c r="A30" s="62"/>
      <c r="B30" s="69" t="s">
        <v>44</v>
      </c>
      <c r="C30" s="70"/>
      <c r="D30" s="71" t="s">
        <v>45</v>
      </c>
      <c r="E30" s="70"/>
    </row>
    <row r="31" ht="22" customHeight="1" spans="1:5">
      <c r="A31" s="72"/>
      <c r="B31" s="73" t="s">
        <v>46</v>
      </c>
      <c r="C31" s="74"/>
      <c r="D31" s="75" t="s">
        <v>47</v>
      </c>
      <c r="E31" s="79"/>
    </row>
    <row r="32" ht="83" customHeight="1" spans="1:5">
      <c r="A32" s="76" t="s">
        <v>48</v>
      </c>
      <c r="B32" s="77"/>
      <c r="C32" s="77"/>
      <c r="D32" s="77"/>
      <c r="E32" s="77"/>
    </row>
    <row r="33" ht="4.5" customHeight="1"/>
    <row r="34" ht="15" spans="1:5">
      <c r="A34" s="38"/>
      <c r="B34" s="38"/>
      <c r="C34" s="38"/>
      <c r="D34" s="38"/>
      <c r="E34" s="65"/>
    </row>
    <row r="49" spans="8:8">
      <c r="H49" s="1" t="s">
        <v>49</v>
      </c>
    </row>
  </sheetData>
  <sheetProtection formatCells="0" insertHyperlinks="0" autoFilter="0"/>
  <mergeCells count="46">
    <mergeCell ref="A1:E1"/>
    <mergeCell ref="A2:E2"/>
    <mergeCell ref="A3:E3"/>
    <mergeCell ref="A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A17:E17"/>
    <mergeCell ref="B18:C18"/>
    <mergeCell ref="D18:E18"/>
    <mergeCell ref="B19:C19"/>
    <mergeCell ref="D19:E19"/>
    <mergeCell ref="B20:C20"/>
    <mergeCell ref="D20:E20"/>
    <mergeCell ref="D21:E21"/>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A32:E32"/>
    <mergeCell ref="A10:A16"/>
    <mergeCell ref="A18:A31"/>
    <mergeCell ref="B21:C23"/>
  </mergeCells>
  <dataValidations count="3">
    <dataValidation type="list" allowBlank="1" showInputMessage="1" showErrorMessage="1" sqref="B6">
      <formula1>CIA2025年价格明细!$J$2</formula1>
    </dataValidation>
    <dataValidation type="list" allowBlank="1" showInputMessage="1" showErrorMessage="1" sqref="E7 B13:C13">
      <formula1>CIA2025年价格明细!$F$3:$F$15</formula1>
    </dataValidation>
    <dataValidation type="list" allowBlank="1" showInputMessage="1" showErrorMessage="1" sqref="B8 B12:C12">
      <formula1>CIA2025年价格明细!$A$3:$A$16</formula1>
    </dataValidation>
  </dataValidations>
  <hyperlinks>
    <hyperlink ref="A3" r:id="rId1" display="电话/微信：15367659331  邮箱: startedu86@163.com" tooltip="mailto:muqingenglish@163.com"/>
  </hyperlinks>
  <pageMargins left="0.75" right="0.75" top="1" bottom="1" header="0.509027777777778" footer="0.509027777777778"/>
  <pageSetup paperSize="9" scale="77" orientation="portrait"/>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showGridLines="0" topLeftCell="A19" workbookViewId="0">
      <selection activeCell="A22" sqref="A22:E35"/>
    </sheetView>
  </sheetViews>
  <sheetFormatPr defaultColWidth="8.925" defaultRowHeight="14.25" outlineLevelCol="6"/>
  <cols>
    <col min="1" max="1" width="8.83333333333333" style="1" customWidth="1"/>
    <col min="2" max="2" width="14.6666666666667" style="1" customWidth="1"/>
    <col min="3" max="3" width="15.9" style="1" customWidth="1"/>
    <col min="4" max="4" width="27.4166666666667" style="1" customWidth="1"/>
    <col min="5" max="5" width="11.9" style="33" customWidth="1"/>
    <col min="6" max="16384" width="9" style="1"/>
  </cols>
  <sheetData>
    <row r="1" ht="59.15" customHeight="1" spans="1:7">
      <c r="A1" s="34" t="s">
        <v>0</v>
      </c>
      <c r="B1" s="34"/>
      <c r="C1" s="34"/>
      <c r="D1" s="34"/>
      <c r="E1" s="34"/>
      <c r="F1" s="63"/>
      <c r="G1" s="63"/>
    </row>
    <row r="2" spans="1:7">
      <c r="A2" s="35"/>
      <c r="B2" s="35"/>
      <c r="C2" s="35"/>
      <c r="D2" s="35"/>
      <c r="E2" s="35"/>
      <c r="F2" s="64"/>
      <c r="G2" s="64"/>
    </row>
    <row r="3" spans="1:5">
      <c r="A3" s="36" t="s">
        <v>50</v>
      </c>
      <c r="B3" s="36"/>
      <c r="C3" s="36"/>
      <c r="D3" s="36"/>
      <c r="E3" s="36"/>
    </row>
    <row r="4" ht="8.15" customHeight="1"/>
    <row r="5" ht="9" customHeight="1" spans="1:5">
      <c r="A5" s="37" t="s">
        <v>2</v>
      </c>
      <c r="B5" s="38"/>
      <c r="C5" s="38"/>
      <c r="D5" s="38"/>
      <c r="E5" s="65"/>
    </row>
    <row r="6" ht="22" customHeight="1" spans="1:5">
      <c r="A6" s="39" t="s">
        <v>3</v>
      </c>
      <c r="B6" s="39" t="s">
        <v>4</v>
      </c>
      <c r="C6" s="40"/>
      <c r="D6" s="40" t="s">
        <v>5</v>
      </c>
      <c r="E6" s="66">
        <v>45571</v>
      </c>
    </row>
    <row r="7" customFormat="1" ht="6" customHeight="1" spans="1:5">
      <c r="A7" s="41"/>
      <c r="B7" s="41"/>
      <c r="C7" s="42"/>
      <c r="D7" s="42"/>
      <c r="E7" s="67"/>
    </row>
    <row r="8" customFormat="1" ht="22" customHeight="1" spans="1:5">
      <c r="A8" s="43" t="s">
        <v>51</v>
      </c>
      <c r="B8" s="39" t="s">
        <v>52</v>
      </c>
      <c r="C8" s="39" t="s">
        <v>53</v>
      </c>
      <c r="D8" s="40"/>
      <c r="E8" s="40" t="s">
        <v>54</v>
      </c>
    </row>
    <row r="9" s="32" customFormat="1" ht="22" customHeight="1" spans="1:5">
      <c r="A9" s="44">
        <v>4</v>
      </c>
      <c r="B9" s="45" t="s">
        <v>10</v>
      </c>
      <c r="C9" s="45" t="str">
        <f>VLOOKUP($B$9,CIA2025年价格明细!A3:C16,3,FALSE)</f>
        <v>一对一4课时+团体3课时(小1，中1，大1)+选修课1节</v>
      </c>
      <c r="D9" s="46"/>
      <c r="E9" s="46" t="s">
        <v>55</v>
      </c>
    </row>
    <row r="10" s="32" customFormat="1" ht="22" customHeight="1" spans="1:5">
      <c r="A10" s="44">
        <v>4</v>
      </c>
      <c r="B10" s="45" t="s">
        <v>56</v>
      </c>
      <c r="C10" s="45" t="str">
        <f>VLOOKUP($B$10,CIA2025年价格明细!A4:C17,3,FALSE)</f>
        <v>一对一4课时+团体3课时(小1，中2)+选修课1节</v>
      </c>
      <c r="D10" s="46"/>
      <c r="E10" s="46" t="s">
        <v>55</v>
      </c>
    </row>
    <row r="11" ht="24" customHeight="1" spans="1:5">
      <c r="A11" s="47" t="s">
        <v>11</v>
      </c>
      <c r="B11" s="47"/>
      <c r="C11" s="47"/>
      <c r="D11" s="47"/>
      <c r="E11" s="47"/>
    </row>
    <row r="12" ht="22" customHeight="1" spans="1:5">
      <c r="A12" s="48" t="s">
        <v>12</v>
      </c>
      <c r="B12" s="48" t="s">
        <v>13</v>
      </c>
      <c r="C12" s="48"/>
      <c r="D12" s="49" t="s">
        <v>14</v>
      </c>
      <c r="E12" s="50"/>
    </row>
    <row r="13" ht="22" customHeight="1" spans="1:6">
      <c r="A13" s="48"/>
      <c r="B13" s="48" t="s">
        <v>15</v>
      </c>
      <c r="C13" s="48"/>
      <c r="D13" s="49">
        <v>100</v>
      </c>
      <c r="E13" s="50"/>
      <c r="F13" s="1" t="s">
        <v>57</v>
      </c>
    </row>
    <row r="14" ht="22" customHeight="1" spans="1:5">
      <c r="A14" s="48"/>
      <c r="B14" s="48" t="s">
        <v>10</v>
      </c>
      <c r="C14" s="48"/>
      <c r="D14" s="49">
        <f>VLOOKUP($B14,CIA2025年价格明细!A3:C16,2,FALSE)*(A9/4)</f>
        <v>900</v>
      </c>
      <c r="E14" s="50"/>
    </row>
    <row r="15" ht="22" customHeight="1" spans="1:6">
      <c r="A15" s="48"/>
      <c r="B15" s="48" t="s">
        <v>56</v>
      </c>
      <c r="C15" s="48"/>
      <c r="D15" s="49">
        <f>VLOOKUP($B15,CIA2025年价格明细!A4:C17,2,FALSE)*(A10/4)</f>
        <v>1050</v>
      </c>
      <c r="E15" s="50"/>
      <c r="F15" s="1">
        <f>D14+D15</f>
        <v>1950</v>
      </c>
    </row>
    <row r="16" ht="22" customHeight="1" spans="1:5">
      <c r="A16" s="48"/>
      <c r="B16" s="49" t="s">
        <v>55</v>
      </c>
      <c r="C16" s="50"/>
      <c r="D16" s="49" t="e">
        <f>VLOOKUP($B16,CIA2025年价格明细!F3:G8,2,FALSE)*(A9/4)</f>
        <v>#N/A</v>
      </c>
      <c r="E16" s="50"/>
    </row>
    <row r="17" ht="22" customHeight="1" spans="1:5">
      <c r="A17" s="48"/>
      <c r="B17" s="49" t="s">
        <v>55</v>
      </c>
      <c r="C17" s="50"/>
      <c r="D17" s="49">
        <f>VLOOKUP($B17,CIA2025年价格明细!F4:G9,2,FALSE)*(A10/4)</f>
        <v>750</v>
      </c>
      <c r="E17" s="50"/>
    </row>
    <row r="18" ht="22" customHeight="1" spans="1:5">
      <c r="A18" s="48"/>
      <c r="B18" s="51" t="s">
        <v>16</v>
      </c>
      <c r="C18" s="52"/>
      <c r="D18" s="53" t="e">
        <f>SUM(D13:E17)</f>
        <v>#N/A</v>
      </c>
      <c r="E18" s="54"/>
    </row>
    <row r="19" ht="22" customHeight="1" spans="1:6">
      <c r="A19" s="48"/>
      <c r="B19" s="53" t="s">
        <v>58</v>
      </c>
      <c r="C19" s="54"/>
      <c r="D19" s="53">
        <v>0.95</v>
      </c>
      <c r="E19" s="54"/>
      <c r="F19" s="1" t="e">
        <f>(D18-D13)*D19+D13</f>
        <v>#N/A</v>
      </c>
    </row>
    <row r="20" ht="22" customHeight="1" spans="1:5">
      <c r="A20" s="48"/>
      <c r="B20" s="55" t="s">
        <v>18</v>
      </c>
      <c r="C20" s="56"/>
      <c r="D20" s="57" t="s">
        <v>59</v>
      </c>
      <c r="E20" s="68"/>
    </row>
    <row r="21" ht="26.15" customHeight="1" spans="1:5">
      <c r="A21" s="47" t="s">
        <v>60</v>
      </c>
      <c r="B21" s="47"/>
      <c r="C21" s="47"/>
      <c r="D21" s="47"/>
      <c r="E21" s="47"/>
    </row>
    <row r="22" ht="20" customHeight="1" spans="1:5">
      <c r="A22" s="58" t="s">
        <v>21</v>
      </c>
      <c r="B22" s="59" t="s">
        <v>22</v>
      </c>
      <c r="C22" s="60"/>
      <c r="D22" s="61" t="s">
        <v>23</v>
      </c>
      <c r="E22" s="60"/>
    </row>
    <row r="23" ht="20" customHeight="1" spans="1:5">
      <c r="A23" s="62"/>
      <c r="B23" s="59" t="s">
        <v>24</v>
      </c>
      <c r="C23" s="60"/>
      <c r="D23" s="61" t="s">
        <v>25</v>
      </c>
      <c r="E23" s="60"/>
    </row>
    <row r="24" ht="20" customHeight="1" spans="1:5">
      <c r="A24" s="62"/>
      <c r="B24" s="59" t="s">
        <v>26</v>
      </c>
      <c r="C24" s="60"/>
      <c r="D24" s="61" t="s">
        <v>27</v>
      </c>
      <c r="E24" s="60"/>
    </row>
    <row r="25" ht="20" customHeight="1" spans="1:5">
      <c r="A25" s="62"/>
      <c r="B25" s="59" t="s">
        <v>28</v>
      </c>
      <c r="C25" s="60"/>
      <c r="D25" s="61" t="s">
        <v>29</v>
      </c>
      <c r="E25" s="60"/>
    </row>
    <row r="26" ht="20" customHeight="1" spans="1:5">
      <c r="A26" s="62"/>
      <c r="B26" s="59"/>
      <c r="C26" s="60"/>
      <c r="D26" s="61" t="s">
        <v>30</v>
      </c>
      <c r="E26" s="60"/>
    </row>
    <row r="27" ht="20" customHeight="1" spans="1:5">
      <c r="A27" s="62"/>
      <c r="B27" s="59"/>
      <c r="C27" s="60"/>
      <c r="D27" s="61" t="s">
        <v>31</v>
      </c>
      <c r="E27" s="60"/>
    </row>
    <row r="28" ht="20" customHeight="1" spans="1:5">
      <c r="A28" s="62"/>
      <c r="B28" s="59" t="s">
        <v>32</v>
      </c>
      <c r="C28" s="60"/>
      <c r="D28" s="61" t="s">
        <v>33</v>
      </c>
      <c r="E28" s="60"/>
    </row>
    <row r="29" ht="20" customHeight="1" spans="1:5">
      <c r="A29" s="62"/>
      <c r="B29" s="59" t="s">
        <v>34</v>
      </c>
      <c r="C29" s="60"/>
      <c r="D29" s="61" t="s">
        <v>35</v>
      </c>
      <c r="E29" s="60"/>
    </row>
    <row r="30" ht="20" customHeight="1" spans="1:5">
      <c r="A30" s="62"/>
      <c r="B30" s="69" t="s">
        <v>36</v>
      </c>
      <c r="C30" s="70"/>
      <c r="D30" s="71" t="s">
        <v>37</v>
      </c>
      <c r="E30" s="70"/>
    </row>
    <row r="31" ht="20" customHeight="1" spans="1:5">
      <c r="A31" s="62"/>
      <c r="B31" s="69" t="s">
        <v>38</v>
      </c>
      <c r="C31" s="70"/>
      <c r="D31" s="71" t="s">
        <v>39</v>
      </c>
      <c r="E31" s="70"/>
    </row>
    <row r="32" ht="20" customHeight="1" spans="1:5">
      <c r="A32" s="62"/>
      <c r="B32" s="69" t="s">
        <v>40</v>
      </c>
      <c r="C32" s="70"/>
      <c r="D32" s="71" t="s">
        <v>41</v>
      </c>
      <c r="E32" s="70"/>
    </row>
    <row r="33" ht="20" customHeight="1" spans="1:5">
      <c r="A33" s="62"/>
      <c r="B33" s="69" t="s">
        <v>42</v>
      </c>
      <c r="C33" s="70"/>
      <c r="D33" s="71" t="s">
        <v>43</v>
      </c>
      <c r="E33" s="70"/>
    </row>
    <row r="34" ht="20" customHeight="1" spans="1:5">
      <c r="A34" s="62"/>
      <c r="B34" s="69" t="s">
        <v>44</v>
      </c>
      <c r="C34" s="70"/>
      <c r="D34" s="71" t="s">
        <v>45</v>
      </c>
      <c r="E34" s="70"/>
    </row>
    <row r="35" ht="20" customHeight="1" spans="1:5">
      <c r="A35" s="72"/>
      <c r="B35" s="73" t="s">
        <v>46</v>
      </c>
      <c r="C35" s="74"/>
      <c r="D35" s="75" t="s">
        <v>61</v>
      </c>
      <c r="E35" s="79"/>
    </row>
    <row r="36" ht="83" customHeight="1" spans="1:5">
      <c r="A36" s="76" t="s">
        <v>48</v>
      </c>
      <c r="B36" s="77"/>
      <c r="C36" s="77"/>
      <c r="D36" s="77"/>
      <c r="E36" s="77"/>
    </row>
    <row r="37" ht="4.5" customHeight="1" spans="3:3">
      <c r="C37" s="78"/>
    </row>
    <row r="38" ht="15" spans="1:5">
      <c r="A38" s="38"/>
      <c r="B38" s="38"/>
      <c r="D38" s="38"/>
      <c r="E38" s="65"/>
    </row>
  </sheetData>
  <sheetProtection formatCells="0" insertHyperlinks="0" autoFilter="0"/>
  <mergeCells count="50">
    <mergeCell ref="A1:E1"/>
    <mergeCell ref="A2:E2"/>
    <mergeCell ref="A3:E3"/>
    <mergeCell ref="A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A21:E21"/>
    <mergeCell ref="B22:C22"/>
    <mergeCell ref="D22:E22"/>
    <mergeCell ref="B23:C23"/>
    <mergeCell ref="D23:E23"/>
    <mergeCell ref="B24:C24"/>
    <mergeCell ref="D24:E24"/>
    <mergeCell ref="D25:E25"/>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A36:E36"/>
    <mergeCell ref="A12:A20"/>
    <mergeCell ref="A22:A35"/>
    <mergeCell ref="B25:C27"/>
  </mergeCells>
  <dataValidations count="4">
    <dataValidation type="list" allowBlank="1" showInputMessage="1" showErrorMessage="1" sqref="B6">
      <formula1>CIA2025年价格明细!$J$2</formula1>
    </dataValidation>
    <dataValidation type="list" allowBlank="1" showInputMessage="1" showErrorMessage="1" sqref="B7 E8">
      <formula1>#REF!</formula1>
    </dataValidation>
    <dataValidation type="list" allowBlank="1" showInputMessage="1" showErrorMessage="1" sqref="B9:B10 B14:C15">
      <formula1>CIA2025年价格明细!$A$3:$A$16</formula1>
    </dataValidation>
    <dataValidation type="list" allowBlank="1" showInputMessage="1" showErrorMessage="1" sqref="E9:E10 B16:C17">
      <formula1>CIA2025年价格明细!$F$3:$F$8</formula1>
    </dataValidation>
  </dataValidations>
  <hyperlinks>
    <hyperlink ref="A3" r:id="rId1" display="微信/电话：13249827686  邮箱: startedu86@163.com" tooltip="mailto:muqingenglish@163.com"/>
  </hyperlinks>
  <pageMargins left="0.75" right="0.75" top="1" bottom="1" header="0.509027777777778" footer="0.509027777777778"/>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
  <sheetViews>
    <sheetView showGridLines="0" zoomScale="93" zoomScaleNormal="93" workbookViewId="0">
      <selection activeCell="B25" sqref="B25:C25"/>
    </sheetView>
  </sheetViews>
  <sheetFormatPr defaultColWidth="8.925" defaultRowHeight="14.25" outlineLevelCol="6"/>
  <cols>
    <col min="1" max="1" width="8.83333333333333" style="1" customWidth="1"/>
    <col min="2" max="2" width="14.6666666666667" style="1" customWidth="1"/>
    <col min="3" max="3" width="15.9" style="1" customWidth="1"/>
    <col min="4" max="4" width="27.4166666666667" style="1" customWidth="1"/>
    <col min="5" max="5" width="11.9" style="33" customWidth="1"/>
    <col min="6" max="16384" width="9" style="1"/>
  </cols>
  <sheetData>
    <row r="1" ht="59.15" customHeight="1" spans="1:7">
      <c r="A1" s="34" t="s">
        <v>0</v>
      </c>
      <c r="B1" s="34"/>
      <c r="C1" s="34"/>
      <c r="D1" s="34"/>
      <c r="E1" s="34"/>
      <c r="F1" s="63"/>
      <c r="G1" s="63"/>
    </row>
    <row r="2" spans="1:7">
      <c r="A2" s="35"/>
      <c r="B2" s="35"/>
      <c r="C2" s="35"/>
      <c r="D2" s="35"/>
      <c r="E2" s="35"/>
      <c r="F2" s="64"/>
      <c r="G2" s="64"/>
    </row>
    <row r="3" spans="1:5">
      <c r="A3" s="36" t="s">
        <v>50</v>
      </c>
      <c r="B3" s="36"/>
      <c r="C3" s="36"/>
      <c r="D3" s="36"/>
      <c r="E3" s="36"/>
    </row>
    <row r="4" ht="8.15" customHeight="1"/>
    <row r="5" ht="9" customHeight="1" spans="1:5">
      <c r="A5" s="37" t="s">
        <v>2</v>
      </c>
      <c r="B5" s="38"/>
      <c r="C5" s="38"/>
      <c r="D5" s="38"/>
      <c r="E5" s="65"/>
    </row>
    <row r="6" ht="22" customHeight="1" spans="1:5">
      <c r="A6" s="39" t="s">
        <v>3</v>
      </c>
      <c r="B6" s="39" t="s">
        <v>4</v>
      </c>
      <c r="C6" s="40"/>
      <c r="D6" s="40" t="s">
        <v>5</v>
      </c>
      <c r="E6" s="66">
        <v>45596</v>
      </c>
    </row>
    <row r="7" customFormat="1" ht="6" customHeight="1" spans="1:5">
      <c r="A7" s="41"/>
      <c r="B7" s="41"/>
      <c r="C7" s="42"/>
      <c r="D7" s="42"/>
      <c r="E7" s="67"/>
    </row>
    <row r="8" customFormat="1" ht="22" customHeight="1" spans="1:5">
      <c r="A8" s="43" t="s">
        <v>51</v>
      </c>
      <c r="B8" s="39" t="s">
        <v>52</v>
      </c>
      <c r="C8" s="39" t="s">
        <v>53</v>
      </c>
      <c r="D8" s="40"/>
      <c r="E8" s="40" t="s">
        <v>54</v>
      </c>
    </row>
    <row r="9" s="32" customFormat="1" ht="22" customHeight="1" spans="1:5">
      <c r="A9" s="44">
        <v>4</v>
      </c>
      <c r="B9" s="45" t="s">
        <v>10</v>
      </c>
      <c r="C9" s="45" t="str">
        <f>VLOOKUP($B$9,CIA2025年价格明细!A3:C16,3,FALSE)</f>
        <v>一对一4课时+团体3课时(小1，中1，大1)+选修课1节</v>
      </c>
      <c r="D9" s="46"/>
      <c r="E9" s="46" t="s">
        <v>62</v>
      </c>
    </row>
    <row r="10" s="32" customFormat="1" ht="22" customHeight="1" spans="1:5">
      <c r="A10" s="44">
        <v>4</v>
      </c>
      <c r="B10" s="45" t="s">
        <v>10</v>
      </c>
      <c r="C10" s="45" t="str">
        <f>VLOOKUP($B$10,CIA2025年价格明细!A4:C17,3,FALSE)</f>
        <v>一对一4课时+团体3课时(小1，中1，大1)+选修课1节</v>
      </c>
      <c r="D10" s="46"/>
      <c r="E10" s="46" t="s">
        <v>62</v>
      </c>
    </row>
    <row r="11" s="32" customFormat="1" ht="22" customHeight="1" spans="1:5">
      <c r="A11" s="44">
        <v>4</v>
      </c>
      <c r="B11" s="45" t="s">
        <v>10</v>
      </c>
      <c r="C11" s="45" t="str">
        <f>VLOOKUP($B$11,CIA2025年价格明细!A3:C16,3,FALSE)</f>
        <v>一对一4课时+团体3课时(小1，中1，大1)+选修课1节</v>
      </c>
      <c r="D11" s="46"/>
      <c r="E11" s="46" t="s">
        <v>62</v>
      </c>
    </row>
    <row r="12" ht="24" customHeight="1" spans="1:5">
      <c r="A12" s="47" t="s">
        <v>11</v>
      </c>
      <c r="B12" s="47"/>
      <c r="C12" s="47"/>
      <c r="D12" s="47"/>
      <c r="E12" s="47"/>
    </row>
    <row r="13" ht="22" customHeight="1" spans="1:5">
      <c r="A13" s="48" t="s">
        <v>12</v>
      </c>
      <c r="B13" s="48" t="s">
        <v>13</v>
      </c>
      <c r="C13" s="48"/>
      <c r="D13" s="49" t="s">
        <v>14</v>
      </c>
      <c r="E13" s="50"/>
    </row>
    <row r="14" ht="22" customHeight="1" spans="1:5">
      <c r="A14" s="48"/>
      <c r="B14" s="48" t="s">
        <v>15</v>
      </c>
      <c r="C14" s="48"/>
      <c r="D14" s="49">
        <v>300</v>
      </c>
      <c r="E14" s="50"/>
    </row>
    <row r="15" ht="22" customHeight="1" spans="1:5">
      <c r="A15" s="48"/>
      <c r="B15" s="48" t="s">
        <v>10</v>
      </c>
      <c r="C15" s="48"/>
      <c r="D15" s="49">
        <f>VLOOKUP($B15,CIA2025年价格明细!A3:C16,2,FALSE)*(A9/4)</f>
        <v>900</v>
      </c>
      <c r="E15" s="50"/>
    </row>
    <row r="16" ht="22" customHeight="1" spans="1:5">
      <c r="A16" s="48"/>
      <c r="B16" s="48" t="s">
        <v>10</v>
      </c>
      <c r="C16" s="48"/>
      <c r="D16" s="49">
        <f>VLOOKUP($B16,CIA2025年价格明细!A4:C17,2,FALSE)*(A10/4)</f>
        <v>900</v>
      </c>
      <c r="E16" s="50"/>
    </row>
    <row r="17" ht="22" customHeight="1" spans="1:5">
      <c r="A17" s="48"/>
      <c r="B17" s="48" t="s">
        <v>10</v>
      </c>
      <c r="C17" s="48"/>
      <c r="D17" s="49">
        <f>VLOOKUP($B17,CIA2025年价格明细!A4:C17,2,FALSE)*(A10/4)</f>
        <v>900</v>
      </c>
      <c r="E17" s="50"/>
    </row>
    <row r="18" ht="22" customHeight="1" spans="1:5">
      <c r="A18" s="48"/>
      <c r="B18" s="49" t="s">
        <v>8</v>
      </c>
      <c r="C18" s="50"/>
      <c r="D18" s="49">
        <f>VLOOKUP($B18,CIA2025年价格明细!F3:G8,2,FALSE)*(A9/4)</f>
        <v>1100</v>
      </c>
      <c r="E18" s="50"/>
    </row>
    <row r="19" ht="22" customHeight="1" spans="1:5">
      <c r="A19" s="48"/>
      <c r="B19" s="49" t="s">
        <v>8</v>
      </c>
      <c r="C19" s="50"/>
      <c r="D19" s="49">
        <f>VLOOKUP($B19,CIA2025年价格明细!F4:G9,2,FALSE)*(A10/4)</f>
        <v>1100</v>
      </c>
      <c r="E19" s="50"/>
    </row>
    <row r="20" ht="22" customHeight="1" spans="1:5">
      <c r="A20" s="48"/>
      <c r="B20" s="49" t="s">
        <v>62</v>
      </c>
      <c r="C20" s="50"/>
      <c r="D20" s="49">
        <f>VLOOKUP($B20,CIA2025年价格明细!F5:G10,2,FALSE)*(A11/4)</f>
        <v>850</v>
      </c>
      <c r="E20" s="50"/>
    </row>
    <row r="21" ht="22" customHeight="1" spans="1:5">
      <c r="A21" s="48"/>
      <c r="B21" s="51" t="s">
        <v>16</v>
      </c>
      <c r="C21" s="52"/>
      <c r="D21" s="53">
        <f>SUM(D14:E20)</f>
        <v>6050</v>
      </c>
      <c r="E21" s="54"/>
    </row>
    <row r="22" ht="22" customHeight="1" spans="1:6">
      <c r="A22" s="48"/>
      <c r="B22" s="53" t="s">
        <v>58</v>
      </c>
      <c r="C22" s="54"/>
      <c r="D22" s="53">
        <v>0.9</v>
      </c>
      <c r="E22" s="54"/>
      <c r="F22" s="1">
        <f>(D21-D14)*D22+D14</f>
        <v>5475</v>
      </c>
    </row>
    <row r="23" ht="22" customHeight="1" spans="1:5">
      <c r="A23" s="48"/>
      <c r="B23" s="55" t="s">
        <v>18</v>
      </c>
      <c r="C23" s="56"/>
      <c r="D23" s="57" t="s">
        <v>63</v>
      </c>
      <c r="E23" s="68"/>
    </row>
    <row r="24" ht="26.15" customHeight="1" spans="1:5">
      <c r="A24" s="47" t="s">
        <v>64</v>
      </c>
      <c r="B24" s="47"/>
      <c r="C24" s="47"/>
      <c r="D24" s="47"/>
      <c r="E24" s="47"/>
    </row>
    <row r="25" ht="25" customHeight="1" spans="1:5">
      <c r="A25" s="58" t="s">
        <v>21</v>
      </c>
      <c r="B25" s="59" t="s">
        <v>22</v>
      </c>
      <c r="C25" s="60"/>
      <c r="D25" s="61" t="s">
        <v>23</v>
      </c>
      <c r="E25" s="60"/>
    </row>
    <row r="26" ht="25" customHeight="1" spans="1:5">
      <c r="A26" s="62"/>
      <c r="B26" s="59" t="s">
        <v>24</v>
      </c>
      <c r="C26" s="60"/>
      <c r="D26" s="61" t="s">
        <v>25</v>
      </c>
      <c r="E26" s="60"/>
    </row>
    <row r="27" ht="25" customHeight="1" spans="1:5">
      <c r="A27" s="62"/>
      <c r="B27" s="59" t="s">
        <v>26</v>
      </c>
      <c r="C27" s="60"/>
      <c r="D27" s="61" t="s">
        <v>27</v>
      </c>
      <c r="E27" s="60"/>
    </row>
    <row r="28" ht="25" customHeight="1" spans="1:5">
      <c r="A28" s="62"/>
      <c r="B28" s="59" t="s">
        <v>28</v>
      </c>
      <c r="C28" s="60"/>
      <c r="D28" s="61" t="s">
        <v>29</v>
      </c>
      <c r="E28" s="60"/>
    </row>
    <row r="29" ht="25" customHeight="1" spans="1:5">
      <c r="A29" s="62"/>
      <c r="B29" s="59"/>
      <c r="C29" s="60"/>
      <c r="D29" s="61" t="s">
        <v>30</v>
      </c>
      <c r="E29" s="60"/>
    </row>
    <row r="30" ht="25" customHeight="1" spans="1:5">
      <c r="A30" s="62"/>
      <c r="B30" s="59"/>
      <c r="C30" s="60"/>
      <c r="D30" s="61" t="s">
        <v>31</v>
      </c>
      <c r="E30" s="60"/>
    </row>
    <row r="31" ht="25" customHeight="1" spans="1:5">
      <c r="A31" s="62"/>
      <c r="B31" s="59" t="s">
        <v>32</v>
      </c>
      <c r="C31" s="60"/>
      <c r="D31" s="61" t="s">
        <v>33</v>
      </c>
      <c r="E31" s="60"/>
    </row>
    <row r="32" ht="25" customHeight="1" spans="1:5">
      <c r="A32" s="62"/>
      <c r="B32" s="59" t="s">
        <v>34</v>
      </c>
      <c r="C32" s="60"/>
      <c r="D32" s="61" t="s">
        <v>35</v>
      </c>
      <c r="E32" s="60"/>
    </row>
    <row r="33" ht="25" customHeight="1" spans="1:5">
      <c r="A33" s="62"/>
      <c r="B33" s="69" t="s">
        <v>36</v>
      </c>
      <c r="C33" s="70"/>
      <c r="D33" s="71" t="s">
        <v>37</v>
      </c>
      <c r="E33" s="70"/>
    </row>
    <row r="34" ht="25" customHeight="1" spans="1:5">
      <c r="A34" s="62"/>
      <c r="B34" s="69" t="s">
        <v>38</v>
      </c>
      <c r="C34" s="70"/>
      <c r="D34" s="71" t="s">
        <v>39</v>
      </c>
      <c r="E34" s="70"/>
    </row>
    <row r="35" ht="25" customHeight="1" spans="1:5">
      <c r="A35" s="62"/>
      <c r="B35" s="69" t="s">
        <v>40</v>
      </c>
      <c r="C35" s="70"/>
      <c r="D35" s="71" t="s">
        <v>41</v>
      </c>
      <c r="E35" s="70"/>
    </row>
    <row r="36" ht="25" customHeight="1" spans="1:5">
      <c r="A36" s="62"/>
      <c r="B36" s="69" t="s">
        <v>42</v>
      </c>
      <c r="C36" s="70"/>
      <c r="D36" s="71" t="s">
        <v>43</v>
      </c>
      <c r="E36" s="70"/>
    </row>
    <row r="37" ht="25" customHeight="1" spans="1:5">
      <c r="A37" s="62"/>
      <c r="B37" s="69" t="s">
        <v>44</v>
      </c>
      <c r="C37" s="70"/>
      <c r="D37" s="71" t="s">
        <v>45</v>
      </c>
      <c r="E37" s="70"/>
    </row>
    <row r="38" ht="25" customHeight="1" spans="1:5">
      <c r="A38" s="72"/>
      <c r="B38" s="73" t="s">
        <v>46</v>
      </c>
      <c r="C38" s="74"/>
      <c r="D38" s="75" t="s">
        <v>61</v>
      </c>
      <c r="E38" s="79"/>
    </row>
    <row r="39" ht="83" customHeight="1" spans="1:5">
      <c r="A39" s="76" t="s">
        <v>48</v>
      </c>
      <c r="B39" s="77"/>
      <c r="C39" s="77"/>
      <c r="D39" s="77"/>
      <c r="E39" s="77"/>
    </row>
    <row r="40" ht="4.5" customHeight="1" spans="3:3">
      <c r="C40" s="78"/>
    </row>
    <row r="41" ht="15" spans="1:5">
      <c r="A41" s="38"/>
      <c r="B41" s="38"/>
      <c r="D41" s="38"/>
      <c r="E41" s="65"/>
    </row>
  </sheetData>
  <sheetProtection formatCells="0" insertHyperlinks="0" autoFilter="0"/>
  <mergeCells count="54">
    <mergeCell ref="A1:E1"/>
    <mergeCell ref="A2:E2"/>
    <mergeCell ref="A3:E3"/>
    <mergeCell ref="A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A24:E24"/>
    <mergeCell ref="B25:C25"/>
    <mergeCell ref="D25:E25"/>
    <mergeCell ref="B26:C26"/>
    <mergeCell ref="D26:E26"/>
    <mergeCell ref="B27:C27"/>
    <mergeCell ref="D27:E27"/>
    <mergeCell ref="D28:E28"/>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A39:E39"/>
    <mergeCell ref="A13:A23"/>
    <mergeCell ref="A25:A38"/>
    <mergeCell ref="B28:C30"/>
  </mergeCells>
  <dataValidations count="4">
    <dataValidation type="list" allowBlank="1" showInputMessage="1" showErrorMessage="1" sqref="B6">
      <formula1>CIA2025年价格明细!$J$2</formula1>
    </dataValidation>
    <dataValidation type="list" allowBlank="1" showInputMessage="1" showErrorMessage="1" sqref="B7 E8">
      <formula1>#REF!</formula1>
    </dataValidation>
    <dataValidation type="list" allowBlank="1" showInputMessage="1" showErrorMessage="1" sqref="B9:B11 B15:C17">
      <formula1>CIA2025年价格明细!$A$3:$A$16</formula1>
    </dataValidation>
    <dataValidation type="list" allowBlank="1" showInputMessage="1" showErrorMessage="1" sqref="E9:E11 B18:C20">
      <formula1>CIA2025年价格明细!$F$3:$F$8</formula1>
    </dataValidation>
  </dataValidations>
  <hyperlinks>
    <hyperlink ref="A3" r:id="rId1" display="微信/电话：13249827686  邮箱: startedu86@163.com" tooltip="mailto:muqingenglish@163.com"/>
  </hyperlinks>
  <pageMargins left="0.75" right="0.75" top="1" bottom="1" header="0.509027777777778" footer="0.509027777777778"/>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
  <sheetViews>
    <sheetView zoomScale="109" zoomScaleNormal="109" topLeftCell="C4" workbookViewId="0">
      <selection activeCell="A6" sqref="A6"/>
    </sheetView>
  </sheetViews>
  <sheetFormatPr defaultColWidth="8.925" defaultRowHeight="14.25"/>
  <cols>
    <col min="1" max="1" width="17.4083333333333" style="1" customWidth="1"/>
    <col min="2" max="2" width="24.2916666666667" style="2" customWidth="1"/>
    <col min="3" max="3" width="55.325" style="1" customWidth="1"/>
    <col min="4" max="4" width="12.25" style="3" customWidth="1"/>
    <col min="5" max="5" width="6.66666666666667" style="1" customWidth="1"/>
    <col min="6" max="6" width="17.25" style="1" customWidth="1"/>
    <col min="7" max="7" width="16.75" style="1" customWidth="1"/>
    <col min="8" max="8" width="42.8333333333333" style="1" customWidth="1"/>
    <col min="9" max="16384" width="9" style="1"/>
  </cols>
  <sheetData>
    <row r="1" ht="31.5" spans="1:12">
      <c r="A1" s="4" t="s">
        <v>65</v>
      </c>
      <c r="B1" s="5"/>
      <c r="C1" s="5"/>
      <c r="D1" s="6"/>
      <c r="F1" s="4" t="s">
        <v>66</v>
      </c>
      <c r="G1" s="5"/>
      <c r="H1" s="21"/>
      <c r="J1" s="28" t="s">
        <v>67</v>
      </c>
      <c r="K1" s="29"/>
      <c r="L1" s="30"/>
    </row>
    <row r="2" ht="22" customHeight="1" spans="1:10">
      <c r="A2" s="7" t="s">
        <v>15</v>
      </c>
      <c r="B2" s="8" t="s">
        <v>68</v>
      </c>
      <c r="C2" s="9"/>
      <c r="D2" s="10"/>
      <c r="F2" s="7" t="s">
        <v>15</v>
      </c>
      <c r="G2" s="8" t="s">
        <v>68</v>
      </c>
      <c r="H2" s="22"/>
      <c r="J2" s="1" t="s">
        <v>4</v>
      </c>
    </row>
    <row r="3" ht="30" customHeight="1" spans="1:8">
      <c r="A3" s="11" t="s">
        <v>52</v>
      </c>
      <c r="B3" s="12" t="s">
        <v>69</v>
      </c>
      <c r="C3" s="11" t="s">
        <v>53</v>
      </c>
      <c r="D3" s="13" t="s">
        <v>70</v>
      </c>
      <c r="F3" s="11" t="s">
        <v>71</v>
      </c>
      <c r="G3" s="12" t="s">
        <v>72</v>
      </c>
      <c r="H3" s="11" t="s">
        <v>70</v>
      </c>
    </row>
    <row r="4" ht="22" customHeight="1" spans="1:8">
      <c r="A4" s="14" t="s">
        <v>10</v>
      </c>
      <c r="B4" s="15">
        <v>900</v>
      </c>
      <c r="C4" s="14" t="s">
        <v>73</v>
      </c>
      <c r="D4" s="16" t="s">
        <v>74</v>
      </c>
      <c r="F4" s="14" t="s">
        <v>75</v>
      </c>
      <c r="G4" s="15">
        <v>1700</v>
      </c>
      <c r="H4" s="14" t="s">
        <v>76</v>
      </c>
    </row>
    <row r="5" ht="22" customHeight="1" spans="1:8">
      <c r="A5" s="14" t="s">
        <v>77</v>
      </c>
      <c r="B5" s="15">
        <v>1000</v>
      </c>
      <c r="C5" s="14" t="s">
        <v>78</v>
      </c>
      <c r="D5" s="16"/>
      <c r="F5" s="14" t="s">
        <v>79</v>
      </c>
      <c r="G5" s="15">
        <v>1500</v>
      </c>
      <c r="H5" s="14"/>
    </row>
    <row r="6" ht="22" customHeight="1" spans="1:18">
      <c r="A6" s="14" t="s">
        <v>80</v>
      </c>
      <c r="B6" s="15">
        <v>1100</v>
      </c>
      <c r="C6" s="14" t="s">
        <v>81</v>
      </c>
      <c r="D6" s="16"/>
      <c r="F6" s="14" t="s">
        <v>82</v>
      </c>
      <c r="G6" s="15">
        <v>1700</v>
      </c>
      <c r="H6" s="14" t="s">
        <v>83</v>
      </c>
      <c r="J6" s="31" t="s">
        <v>84</v>
      </c>
      <c r="K6" s="31"/>
      <c r="L6" s="31"/>
      <c r="M6" s="31"/>
      <c r="N6" s="31"/>
      <c r="O6" s="31"/>
      <c r="P6" s="31"/>
      <c r="Q6" s="31"/>
      <c r="R6" s="31"/>
    </row>
    <row r="7" ht="22" customHeight="1" spans="1:18">
      <c r="A7" s="14" t="s">
        <v>85</v>
      </c>
      <c r="B7" s="15">
        <v>1000</v>
      </c>
      <c r="C7" s="14" t="s">
        <v>86</v>
      </c>
      <c r="D7" s="16"/>
      <c r="F7" s="14" t="s">
        <v>8</v>
      </c>
      <c r="G7" s="15">
        <v>1100</v>
      </c>
      <c r="H7" s="14"/>
      <c r="J7" s="31"/>
      <c r="K7" s="31"/>
      <c r="L7" s="31"/>
      <c r="M7" s="31"/>
      <c r="N7" s="31"/>
      <c r="O7" s="31"/>
      <c r="P7" s="31"/>
      <c r="Q7" s="31"/>
      <c r="R7" s="31"/>
    </row>
    <row r="8" ht="22" customHeight="1" spans="1:18">
      <c r="A8" s="14" t="s">
        <v>87</v>
      </c>
      <c r="B8" s="15">
        <v>1000</v>
      </c>
      <c r="C8" s="17" t="s">
        <v>86</v>
      </c>
      <c r="D8" s="16"/>
      <c r="F8" s="14" t="s">
        <v>62</v>
      </c>
      <c r="G8" s="15">
        <v>850</v>
      </c>
      <c r="H8" s="14"/>
      <c r="J8" s="31"/>
      <c r="K8" s="31"/>
      <c r="L8" s="31"/>
      <c r="M8" s="31"/>
      <c r="N8" s="31"/>
      <c r="O8" s="31"/>
      <c r="P8" s="31"/>
      <c r="Q8" s="31"/>
      <c r="R8" s="31"/>
    </row>
    <row r="9" ht="22" customHeight="1" spans="1:18">
      <c r="A9" s="14" t="s">
        <v>88</v>
      </c>
      <c r="B9" s="15">
        <v>1000</v>
      </c>
      <c r="C9" s="17" t="s">
        <v>86</v>
      </c>
      <c r="D9" s="16"/>
      <c r="F9" s="14" t="s">
        <v>55</v>
      </c>
      <c r="G9" s="15">
        <v>750</v>
      </c>
      <c r="H9" s="14"/>
      <c r="J9" s="31"/>
      <c r="K9" s="31"/>
      <c r="L9" s="31"/>
      <c r="M9" s="31"/>
      <c r="N9" s="31"/>
      <c r="O9" s="31"/>
      <c r="P9" s="31"/>
      <c r="Q9" s="31"/>
      <c r="R9" s="31"/>
    </row>
    <row r="10" ht="22" customHeight="1" spans="1:18">
      <c r="A10" s="14" t="s">
        <v>89</v>
      </c>
      <c r="B10" s="15">
        <v>1050</v>
      </c>
      <c r="C10" s="14" t="s">
        <v>86</v>
      </c>
      <c r="D10" s="16"/>
      <c r="F10" s="14" t="s">
        <v>90</v>
      </c>
      <c r="G10" s="15">
        <v>2500</v>
      </c>
      <c r="H10" s="14"/>
      <c r="J10" s="31"/>
      <c r="K10" s="31"/>
      <c r="L10" s="31"/>
      <c r="M10" s="31"/>
      <c r="N10" s="31"/>
      <c r="O10" s="31"/>
      <c r="P10" s="31"/>
      <c r="Q10" s="31"/>
      <c r="R10" s="31"/>
    </row>
    <row r="11" ht="22" customHeight="1" spans="1:18">
      <c r="A11" s="14" t="s">
        <v>56</v>
      </c>
      <c r="B11" s="15">
        <v>1050</v>
      </c>
      <c r="C11" s="14" t="s">
        <v>86</v>
      </c>
      <c r="D11" s="16"/>
      <c r="F11" s="14" t="s">
        <v>91</v>
      </c>
      <c r="G11" s="15">
        <v>1400</v>
      </c>
      <c r="H11" s="14"/>
      <c r="J11" s="31"/>
      <c r="K11" s="31"/>
      <c r="L11" s="31"/>
      <c r="M11" s="31"/>
      <c r="N11" s="31"/>
      <c r="O11" s="31"/>
      <c r="P11" s="31"/>
      <c r="Q11" s="31"/>
      <c r="R11" s="31"/>
    </row>
    <row r="12" ht="22" customHeight="1" spans="1:18">
      <c r="A12" s="14" t="s">
        <v>92</v>
      </c>
      <c r="B12" s="15">
        <v>1050</v>
      </c>
      <c r="C12" s="14" t="s">
        <v>93</v>
      </c>
      <c r="D12" s="16"/>
      <c r="F12" s="14" t="s">
        <v>94</v>
      </c>
      <c r="G12" s="15">
        <v>1200</v>
      </c>
      <c r="H12" s="14"/>
      <c r="J12" s="31"/>
      <c r="K12" s="31"/>
      <c r="L12" s="31"/>
      <c r="M12" s="31"/>
      <c r="N12" s="31"/>
      <c r="O12" s="31"/>
      <c r="P12" s="31"/>
      <c r="Q12" s="31"/>
      <c r="R12" s="31"/>
    </row>
    <row r="13" ht="22" customHeight="1" spans="1:18">
      <c r="A13" s="14" t="s">
        <v>95</v>
      </c>
      <c r="B13" s="15">
        <v>1050</v>
      </c>
      <c r="C13" s="14" t="s">
        <v>78</v>
      </c>
      <c r="D13" s="16"/>
      <c r="F13" s="14" t="s">
        <v>96</v>
      </c>
      <c r="G13" s="15">
        <v>1100</v>
      </c>
      <c r="H13" s="14"/>
      <c r="J13" s="31"/>
      <c r="K13" s="31"/>
      <c r="L13" s="31"/>
      <c r="M13" s="31"/>
      <c r="N13" s="31"/>
      <c r="O13" s="31"/>
      <c r="P13" s="31"/>
      <c r="Q13" s="31"/>
      <c r="R13" s="31"/>
    </row>
    <row r="14" ht="22" customHeight="1" spans="1:18">
      <c r="A14" s="14" t="s">
        <v>97</v>
      </c>
      <c r="B14" s="15">
        <v>950</v>
      </c>
      <c r="C14" s="14" t="s">
        <v>73</v>
      </c>
      <c r="D14" s="18"/>
      <c r="F14" s="14" t="s">
        <v>98</v>
      </c>
      <c r="G14" s="15">
        <v>1600</v>
      </c>
      <c r="H14" s="14"/>
      <c r="J14" s="31"/>
      <c r="K14" s="31"/>
      <c r="L14" s="31"/>
      <c r="M14" s="31"/>
      <c r="N14" s="31"/>
      <c r="O14" s="31"/>
      <c r="P14" s="31"/>
      <c r="Q14" s="31"/>
      <c r="R14" s="31"/>
    </row>
    <row r="15" ht="22" customHeight="1" spans="1:18">
      <c r="A15" s="14" t="s">
        <v>99</v>
      </c>
      <c r="B15" s="15">
        <v>1000</v>
      </c>
      <c r="C15" s="14" t="s">
        <v>73</v>
      </c>
      <c r="D15" s="18"/>
      <c r="E15" s="23"/>
      <c r="F15" s="14" t="s">
        <v>100</v>
      </c>
      <c r="G15" s="15">
        <v>1000</v>
      </c>
      <c r="H15" s="14" t="s">
        <v>101</v>
      </c>
      <c r="J15" s="31"/>
      <c r="K15" s="31"/>
      <c r="L15" s="31"/>
      <c r="M15" s="31"/>
      <c r="N15" s="31"/>
      <c r="O15" s="31"/>
      <c r="P15" s="31"/>
      <c r="Q15" s="31"/>
      <c r="R15" s="31"/>
    </row>
    <row r="16" ht="22" customHeight="1" spans="1:8">
      <c r="A16" s="14" t="s">
        <v>102</v>
      </c>
      <c r="B16" s="15">
        <v>1050</v>
      </c>
      <c r="C16" s="14" t="s">
        <v>78</v>
      </c>
      <c r="D16" s="18"/>
      <c r="E16" s="23"/>
      <c r="F16" s="23"/>
      <c r="G16" s="24"/>
      <c r="H16" s="23"/>
    </row>
    <row r="17" ht="22" customHeight="1" spans="1:8">
      <c r="A17" s="14" t="s">
        <v>103</v>
      </c>
      <c r="B17" s="15">
        <v>1300</v>
      </c>
      <c r="C17" s="14" t="s">
        <v>104</v>
      </c>
      <c r="D17" s="19" t="s">
        <v>105</v>
      </c>
      <c r="E17" s="23"/>
      <c r="F17" s="23" t="s">
        <v>106</v>
      </c>
      <c r="G17" s="24"/>
      <c r="H17" s="23"/>
    </row>
    <row r="18" ht="22" customHeight="1" spans="1:8">
      <c r="A18" s="14" t="s">
        <v>107</v>
      </c>
      <c r="B18" s="15">
        <v>1300</v>
      </c>
      <c r="C18" s="14" t="s">
        <v>108</v>
      </c>
      <c r="D18" s="18"/>
      <c r="E18" s="23"/>
      <c r="F18" s="23" t="s">
        <v>109</v>
      </c>
      <c r="G18" s="24"/>
      <c r="H18" s="23"/>
    </row>
    <row r="19" ht="220" customHeight="1" spans="1:8">
      <c r="A19" s="20" t="s">
        <v>110</v>
      </c>
      <c r="B19" s="20"/>
      <c r="C19" s="20"/>
      <c r="D19" s="20"/>
      <c r="E19" s="25"/>
      <c r="F19" s="26" t="s">
        <v>111</v>
      </c>
      <c r="G19" s="27"/>
      <c r="H19" s="26"/>
    </row>
  </sheetData>
  <sheetProtection formatCells="0" insertHyperlinks="0" autoFilter="0"/>
  <mergeCells count="8">
    <mergeCell ref="A1:D1"/>
    <mergeCell ref="F1:H1"/>
    <mergeCell ref="B2:D2"/>
    <mergeCell ref="G2:H2"/>
    <mergeCell ref="A19:D19"/>
    <mergeCell ref="F19:H19"/>
    <mergeCell ref="D4:D13"/>
    <mergeCell ref="J6:R15"/>
  </mergeCells>
  <pageMargins left="0.75" right="0.75" top="1" bottom="1" header="0.509027777777778" footer="0.509027777777778"/>
  <headerFooter alignWithMargins="0" scaleWithDoc="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fileId="255471719704"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s>
</file>

<file path=customXml/item3.xml><?xml version="1.0" encoding="utf-8"?>
<independentViews xmlns="https://web.wps.cn/et/2018/main"/>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A02B7E37-CEC0-4786-9FA4-411A3DC5961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WWO_wpscloud_20250821175036-ffea781686</Application>
  <HeadingPairs>
    <vt:vector size="2" baseType="variant">
      <vt:variant>
        <vt:lpstr>工作表</vt:lpstr>
      </vt:variant>
      <vt:variant>
        <vt:i4>4</vt:i4>
      </vt:variant>
    </vt:vector>
  </HeadingPairs>
  <TitlesOfParts>
    <vt:vector size="4" baseType="lpstr">
      <vt:lpstr>CIA报价单-单课程</vt:lpstr>
      <vt:lpstr>CIA报价单-2种课程</vt:lpstr>
      <vt:lpstr>CIA报价单-3种课程</vt:lpstr>
      <vt:lpstr>CIA2025年价格明细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86185</dc:creator>
  <cp:lastModifiedBy>菲律宾游学Perrin</cp:lastModifiedBy>
  <dcterms:created xsi:type="dcterms:W3CDTF">2022-10-24T13:52:00Z</dcterms:created>
  <dcterms:modified xsi:type="dcterms:W3CDTF">2025-08-28T03:20:00Z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93C1DF92BB3C4443A11075464AB2673A</vt:lpwstr>
  </property>
  <property fmtid="{D5CDD505-2E9C-101B-9397-08002B2CF9AE}" pid="4" name="KSOProductBuildVer">
    <vt:lpwstr>2052-12.9.0.22557</vt:lpwstr>
  </property>
</Properties>
</file>